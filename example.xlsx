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C64D3FE-1B0C-44BF-87C6-14033C4B7446}" xr6:coauthVersionLast="47" xr6:coauthVersionMax="47" xr10:uidLastSave="{00000000-0000-0000-0000-000000000000}"/>
  <bookViews>
    <workbookView xWindow="-110" yWindow="-110" windowWidth="38620" windowHeight="21100" tabRatio="602" xr2:uid="{00000000-000D-0000-FFFF-FFFF00000000}"/>
  </bookViews>
  <sheets>
    <sheet name="Quotation" sheetId="1" r:id="rId1"/>
    <sheet name="Cost Sheet" sheetId="2" r:id="rId2"/>
    <sheet name="MR Form" sheetId="3" r:id="rId3"/>
  </sheets>
  <definedNames>
    <definedName name="Excel_BuiltIn_Print_Area_1_1">Quotation!$A$3:$M$47</definedName>
    <definedName name="Excel_BuiltIn_Print_Area_1_1_1">#REF!</definedName>
    <definedName name="Excel_BuiltIn_Print_Area_2_1">Quotation!$A$3:$M$50</definedName>
    <definedName name="Excel_BuiltIn_Print_Titles_1">#REF!</definedName>
    <definedName name="_xlnm.Print_Area" localSheetId="2">'MR Form'!$A$1:$O$40</definedName>
    <definedName name="_xlnm.Print_Area" localSheetId="0">Quotation!$A$1:$M$47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H34" i="3" s="1"/>
  <c r="H8" i="3" s="1"/>
  <c r="L34" i="3"/>
  <c r="K34" i="2"/>
  <c r="H17" i="2"/>
  <c r="F17" i="2"/>
  <c r="E17" i="2"/>
  <c r="D17" i="2"/>
  <c r="C17" i="2"/>
  <c r="H16" i="2"/>
  <c r="F16" i="2"/>
  <c r="E16" i="2"/>
  <c r="D16" i="2"/>
  <c r="C16" i="2"/>
  <c r="H15" i="2"/>
  <c r="F15" i="2"/>
  <c r="E15" i="2"/>
  <c r="D15" i="2"/>
  <c r="C15" i="2"/>
  <c r="H14" i="2"/>
  <c r="H34" i="2" s="1"/>
  <c r="F14" i="2"/>
  <c r="E14" i="2"/>
  <c r="D14" i="2"/>
  <c r="C14" i="2"/>
  <c r="B9" i="2"/>
  <c r="B10" i="3" s="1"/>
  <c r="I8" i="2"/>
  <c r="B8" i="2"/>
  <c r="B8" i="3" s="1"/>
  <c r="M7" i="2"/>
  <c r="M8" i="3" s="1"/>
  <c r="I7" i="2"/>
  <c r="B7" i="2"/>
  <c r="M31" i="1"/>
  <c r="H7" i="3" s="1"/>
  <c r="H10" i="3" l="1"/>
  <c r="H9" i="3"/>
</calcChain>
</file>

<file path=xl/sharedStrings.xml><?xml version="1.0" encoding="utf-8"?>
<sst xmlns="http://schemas.openxmlformats.org/spreadsheetml/2006/main" count="126" uniqueCount="108">
  <si>
    <t>EC InfoTech Limited</t>
  </si>
  <si>
    <t>QUOTATION</t>
  </si>
  <si>
    <r>
      <rPr>
        <sz val="10"/>
        <rFont val="Arial"/>
        <family val="2"/>
      </rPr>
      <t xml:space="preserve">Unit D, 3/F, Block 2, Camel Paint Building, 
62 Hoi Yuen Road, Kwun Tong, Kowloon
Security License No.: 1275
</t>
    </r>
    <r>
      <rPr>
        <b/>
        <sz val="10"/>
        <rFont val="Arial"/>
        <family val="2"/>
      </rPr>
      <t>Tel</t>
    </r>
    <r>
      <rPr>
        <sz val="10"/>
        <rFont val="Arial"/>
        <family val="2"/>
      </rPr>
      <t xml:space="preserve">: 2876 2990      </t>
    </r>
    <r>
      <rPr>
        <b/>
        <sz val="10"/>
        <rFont val="Arial"/>
        <family val="2"/>
      </rPr>
      <t xml:space="preserve">  Fax</t>
    </r>
    <r>
      <rPr>
        <sz val="10"/>
        <rFont val="Arial"/>
        <family val="2"/>
      </rPr>
      <t xml:space="preserve">: 3101 0616
</t>
    </r>
    <r>
      <rPr>
        <b/>
        <sz val="10"/>
        <rFont val="Arial"/>
        <family val="2"/>
      </rPr>
      <t>Email</t>
    </r>
    <r>
      <rPr>
        <sz val="10"/>
        <rFont val="Arial"/>
        <family val="2"/>
      </rPr>
      <t xml:space="preserve">: cs@ecinfohk.com        
</t>
    </r>
    <r>
      <rPr>
        <b/>
        <sz val="10"/>
        <rFont val="Arial"/>
        <family val="2"/>
      </rPr>
      <t>Website</t>
    </r>
    <r>
      <rPr>
        <sz val="10"/>
        <rFont val="Arial"/>
        <family val="2"/>
      </rPr>
      <t xml:space="preserve">: www.ecinfohk.com
</t>
    </r>
  </si>
  <si>
    <t xml:space="preserve">To : </t>
  </si>
  <si>
    <t>Date :</t>
  </si>
  <si>
    <t>Site :</t>
  </si>
  <si>
    <t>Our Ref. :</t>
  </si>
  <si>
    <t>Attn :</t>
  </si>
  <si>
    <t>You Ref. :</t>
  </si>
  <si>
    <t xml:space="preserve">Tel : </t>
  </si>
  <si>
    <t>From :</t>
  </si>
  <si>
    <t>E-mail :</t>
  </si>
  <si>
    <t>Tel :</t>
  </si>
  <si>
    <t>S/R No :</t>
  </si>
  <si>
    <t>Fax:</t>
  </si>
  <si>
    <t>Email:</t>
  </si>
  <si>
    <t>Contract No:</t>
  </si>
  <si>
    <t>KLN</t>
  </si>
  <si>
    <t>Item</t>
  </si>
  <si>
    <t>Description</t>
  </si>
  <si>
    <t>Rate</t>
  </si>
  <si>
    <t>Net Price 
(HKD)</t>
  </si>
  <si>
    <t>Qty</t>
  </si>
  <si>
    <t>Unit</t>
  </si>
  <si>
    <t>Amount 
(HKD)</t>
  </si>
  <si>
    <t>Total:</t>
  </si>
  <si>
    <t>Terms &amp; Conditions</t>
  </si>
  <si>
    <t xml:space="preserve">Payment : </t>
  </si>
  <si>
    <t xml:space="preserve">Validity: </t>
  </si>
  <si>
    <t xml:space="preserve">Delivery time: </t>
  </si>
  <si>
    <t>Warranty:</t>
  </si>
  <si>
    <t>The undersigned confirms and  places order for the aforesaid.</t>
  </si>
  <si>
    <t>For and on behalf of  EC InfoTech Limited.</t>
  </si>
  <si>
    <t>Prepared by:</t>
  </si>
  <si>
    <t xml:space="preserve"> Checked by:</t>
  </si>
  <si>
    <t>Authorized Signature &amp; Company Chop</t>
  </si>
  <si>
    <t xml:space="preserve">Name: </t>
  </si>
  <si>
    <t>Name:</t>
  </si>
  <si>
    <t xml:space="preserve">Date:  </t>
  </si>
  <si>
    <t>Title:</t>
  </si>
  <si>
    <t>Ec InfoTech Limited</t>
  </si>
  <si>
    <t>Unit D, 3/F, Block 2, Camel Paint Building, 62 Hoi Yuen Road, Kwun Tong, Kowloon, H.K.</t>
  </si>
  <si>
    <t>Tel: (852) 2876 2990  Fax: (852) 3101 0616  URL: http://www.ecinfohk.com Email: cs@ecinfohk.com</t>
  </si>
  <si>
    <t>Cost Sheet</t>
  </si>
  <si>
    <t>Request by:</t>
  </si>
  <si>
    <t>Date:</t>
  </si>
  <si>
    <t>Quotation ref :</t>
  </si>
  <si>
    <t>Site:</t>
  </si>
  <si>
    <t>Contract Sum :</t>
  </si>
  <si>
    <t>Job Completion Date:</t>
  </si>
  <si>
    <t>Description of project:</t>
  </si>
  <si>
    <t>Profit:</t>
  </si>
  <si>
    <t>Profit percetage:</t>
  </si>
  <si>
    <t>Vendor (By Purchasing Team)</t>
  </si>
  <si>
    <t>Sub-contractor (By Sales Team)</t>
  </si>
  <si>
    <t>(By Sales Team)</t>
  </si>
  <si>
    <t>Budgeted (by Sales Team)</t>
  </si>
  <si>
    <t>Actual (By Purchasing Team)</t>
  </si>
  <si>
    <t>Remarks</t>
  </si>
  <si>
    <t>Progress (P.O. No.) (By Purchasing Team)</t>
  </si>
  <si>
    <t xml:space="preserve">Sign By Receiver </t>
  </si>
  <si>
    <t>Brand</t>
  </si>
  <si>
    <t>Model</t>
  </si>
  <si>
    <t xml:space="preserve">Qty </t>
  </si>
  <si>
    <t>Unit Rate</t>
  </si>
  <si>
    <t>Amount (HKD)</t>
  </si>
  <si>
    <t>EC-SAL-001-R0</t>
  </si>
  <si>
    <t>Material Requisition Form</t>
  </si>
  <si>
    <r>
      <rPr>
        <sz val="12"/>
        <rFont val="細明體"/>
        <charset val="136"/>
      </rPr>
      <t xml:space="preserve">申請人：
</t>
    </r>
    <r>
      <rPr>
        <sz val="12"/>
        <rFont val="Times New Roman"/>
        <family val="1"/>
      </rPr>
      <t>Request by:</t>
    </r>
  </si>
  <si>
    <t>Pang Suet Fung</t>
  </si>
  <si>
    <r>
      <rPr>
        <sz val="12"/>
        <rFont val="細明體"/>
        <charset val="136"/>
      </rPr>
      <t xml:space="preserve">合同總價：
</t>
    </r>
    <r>
      <rPr>
        <sz val="12"/>
        <rFont val="Times New Roman"/>
        <family val="1"/>
      </rPr>
      <t>Contract Sum:</t>
    </r>
  </si>
  <si>
    <r>
      <rPr>
        <sz val="12"/>
        <rFont val="細明體"/>
        <charset val="136"/>
      </rPr>
      <t xml:space="preserve">日期：
</t>
    </r>
    <r>
      <rPr>
        <sz val="12"/>
        <rFont val="Times New Roman"/>
        <family val="1"/>
      </rPr>
      <t>Date:</t>
    </r>
  </si>
  <si>
    <t>□</t>
  </si>
  <si>
    <t>Maintenance  (M)</t>
  </si>
  <si>
    <r>
      <rPr>
        <sz val="12"/>
        <rFont val="細明體"/>
        <charset val="136"/>
      </rPr>
      <t xml:space="preserve">場地：
</t>
    </r>
    <r>
      <rPr>
        <sz val="12"/>
        <rFont val="Times New Roman"/>
        <family val="1"/>
      </rPr>
      <t>Site:</t>
    </r>
  </si>
  <si>
    <r>
      <rPr>
        <sz val="12"/>
        <rFont val="細明體"/>
        <charset val="136"/>
      </rPr>
      <t>結算價格：</t>
    </r>
    <r>
      <rPr>
        <sz val="12"/>
        <rFont val="Times New Roman"/>
        <family val="1"/>
      </rPr>
      <t xml:space="preserve">
Completion Sum:</t>
    </r>
  </si>
  <si>
    <t>Project  (P)</t>
  </si>
  <si>
    <r>
      <rPr>
        <sz val="12"/>
        <rFont val="細明體"/>
        <charset val="136"/>
      </rPr>
      <t xml:space="preserve">利潤：
</t>
    </r>
    <r>
      <rPr>
        <sz val="12"/>
        <rFont val="Times New Roman"/>
        <family val="1"/>
      </rPr>
      <t>Profit:</t>
    </r>
  </si>
  <si>
    <r>
      <rPr>
        <sz val="12"/>
        <rFont val="細明體"/>
        <charset val="136"/>
      </rPr>
      <t xml:space="preserve">完成日期：
</t>
    </r>
    <r>
      <rPr>
        <sz val="12"/>
        <rFont val="Times New Roman"/>
        <family val="1"/>
      </rPr>
      <t xml:space="preserve">Completion Date
</t>
    </r>
  </si>
  <si>
    <t>Internal Used  (I)</t>
  </si>
  <si>
    <r>
      <rPr>
        <sz val="12"/>
        <rFont val="細明體"/>
        <charset val="136"/>
      </rPr>
      <t xml:space="preserve">工程項目：
</t>
    </r>
    <r>
      <rPr>
        <sz val="12"/>
        <rFont val="Times New Roman"/>
        <family val="1"/>
      </rPr>
      <t>Description of project:</t>
    </r>
  </si>
  <si>
    <r>
      <rPr>
        <sz val="12"/>
        <rFont val="細明體"/>
        <charset val="136"/>
      </rPr>
      <t>利潤率</t>
    </r>
    <r>
      <rPr>
        <sz val="12"/>
        <rFont val="Times New Roman"/>
        <family val="1"/>
      </rPr>
      <t xml:space="preserve">
Profit Margin</t>
    </r>
  </si>
  <si>
    <r>
      <rPr>
        <sz val="12"/>
        <rFont val="細明體"/>
        <charset val="136"/>
      </rPr>
      <t>供應商</t>
    </r>
    <r>
      <rPr>
        <sz val="12"/>
        <rFont val="Times New Roman"/>
        <family val="1"/>
      </rPr>
      <t xml:space="preserve"> 
(</t>
    </r>
    <r>
      <rPr>
        <sz val="12"/>
        <rFont val="細明體"/>
        <charset val="136"/>
      </rPr>
      <t>由採購組填寫)</t>
    </r>
    <r>
      <rPr>
        <sz val="12"/>
        <rFont val="Times New Roman"/>
        <family val="1"/>
      </rPr>
      <t xml:space="preserve">
Vendor 
(By Purchasing Team)</t>
    </r>
  </si>
  <si>
    <r>
      <rPr>
        <sz val="12"/>
        <rFont val="細明體"/>
        <charset val="136"/>
      </rPr>
      <t xml:space="preserve">判頭
</t>
    </r>
    <r>
      <rPr>
        <sz val="12"/>
        <rFont val="Times New Roman"/>
        <family val="1"/>
      </rPr>
      <t>(</t>
    </r>
    <r>
      <rPr>
        <sz val="12"/>
        <rFont val="細明體"/>
        <charset val="136"/>
      </rPr>
      <t>由銷售組填寫</t>
    </r>
    <r>
      <rPr>
        <sz val="12"/>
        <rFont val="Times New Roman"/>
        <family val="1"/>
      </rPr>
      <t>)
Sub-contractor (By Sales Team)</t>
    </r>
  </si>
  <si>
    <r>
      <rPr>
        <sz val="12"/>
        <rFont val="細明體"/>
        <charset val="136"/>
      </rPr>
      <t>由銷售組填寫</t>
    </r>
    <r>
      <rPr>
        <sz val="12"/>
        <rFont val="Times New Roman"/>
        <family val="1"/>
      </rPr>
      <t xml:space="preserve"> By Sales Team</t>
    </r>
  </si>
  <si>
    <r>
      <rPr>
        <sz val="12"/>
        <rFont val="細明體"/>
        <charset val="136"/>
      </rPr>
      <t>預計成本</t>
    </r>
    <r>
      <rPr>
        <sz val="12"/>
        <rFont val="Times New Roman"/>
        <family val="1"/>
      </rPr>
      <t xml:space="preserve"> (</t>
    </r>
    <r>
      <rPr>
        <sz val="12"/>
        <rFont val="細明體"/>
        <charset val="136"/>
      </rPr>
      <t>由銷售組填寫</t>
    </r>
    <r>
      <rPr>
        <sz val="12"/>
        <rFont val="Times New Roman"/>
        <family val="1"/>
      </rPr>
      <t>)
Budgeted cost (By Sales Team)</t>
    </r>
  </si>
  <si>
    <r>
      <rPr>
        <sz val="12"/>
        <rFont val="細明體"/>
        <charset val="136"/>
      </rPr>
      <t>備註</t>
    </r>
    <r>
      <rPr>
        <sz val="12"/>
        <rFont val="Times New Roman"/>
        <family val="1"/>
      </rPr>
      <t xml:space="preserve"> 
 (</t>
    </r>
    <r>
      <rPr>
        <sz val="12"/>
        <rFont val="細明體"/>
        <charset val="136"/>
      </rPr>
      <t>由銷售組填寫</t>
    </r>
    <r>
      <rPr>
        <sz val="12"/>
        <rFont val="Times New Roman"/>
        <family val="1"/>
      </rPr>
      <t>)</t>
    </r>
    <r>
      <rPr>
        <sz val="12"/>
        <rFont val="細明體"/>
        <charset val="136"/>
      </rPr>
      <t xml:space="preserve">
</t>
    </r>
    <r>
      <rPr>
        <sz val="12"/>
        <rFont val="Times New Roman"/>
        <family val="1"/>
      </rPr>
      <t>Remarks 
(By Sales Team)</t>
    </r>
  </si>
  <si>
    <r>
      <rPr>
        <sz val="12"/>
        <rFont val="細明體"/>
        <charset val="136"/>
      </rPr>
      <t>實際成本</t>
    </r>
    <r>
      <rPr>
        <sz val="12"/>
        <rFont val="Times New Roman"/>
        <family val="1"/>
      </rPr>
      <t xml:space="preserve"> (</t>
    </r>
    <r>
      <rPr>
        <sz val="12"/>
        <rFont val="細明體"/>
        <charset val="136"/>
      </rPr>
      <t>由採購組填寫</t>
    </r>
    <r>
      <rPr>
        <sz val="12"/>
        <rFont val="Times New Roman"/>
        <family val="1"/>
      </rPr>
      <t>)
Actual cost (By Purchasing Team)</t>
    </r>
  </si>
  <si>
    <r>
      <rPr>
        <sz val="12"/>
        <rFont val="細明體"/>
        <charset val="136"/>
      </rPr>
      <t>備註</t>
    </r>
    <r>
      <rPr>
        <sz val="12"/>
        <rFont val="Times New Roman"/>
        <family val="1"/>
      </rPr>
      <t xml:space="preserve">  
(</t>
    </r>
    <r>
      <rPr>
        <sz val="12"/>
        <rFont val="細明體"/>
        <charset val="136"/>
      </rPr>
      <t>由採購組填寫</t>
    </r>
    <r>
      <rPr>
        <sz val="12"/>
        <rFont val="Times New Roman"/>
        <family val="1"/>
      </rPr>
      <t>)</t>
    </r>
    <r>
      <rPr>
        <sz val="12"/>
        <rFont val="細明體"/>
        <charset val="136"/>
      </rPr>
      <t xml:space="preserve">
</t>
    </r>
    <r>
      <rPr>
        <sz val="12"/>
        <rFont val="Times New Roman"/>
        <family val="1"/>
      </rPr>
      <t>Remarks 
(By Purchasing Team)</t>
    </r>
  </si>
  <si>
    <r>
      <rPr>
        <sz val="12"/>
        <rFont val="細明體"/>
        <charset val="136"/>
      </rPr>
      <t>進度</t>
    </r>
    <r>
      <rPr>
        <sz val="12"/>
        <rFont val="Times New Roman"/>
        <family val="1"/>
      </rPr>
      <t xml:space="preserve"> (</t>
    </r>
    <r>
      <rPr>
        <sz val="12"/>
        <rFont val="細明體"/>
        <charset val="136"/>
      </rPr>
      <t xml:space="preserve">採購單號) 
(由採購組填寫)
</t>
    </r>
    <r>
      <rPr>
        <sz val="12"/>
        <rFont val="Times New Roman"/>
        <family val="1"/>
      </rPr>
      <t>Progress (P.O. No.)
 (By Purchasing Team)</t>
    </r>
  </si>
  <si>
    <r>
      <rPr>
        <sz val="12"/>
        <rFont val="細明體"/>
        <charset val="136"/>
      </rPr>
      <t xml:space="preserve">採購單發票日期
</t>
    </r>
    <r>
      <rPr>
        <sz val="12"/>
        <rFont val="Times New Roman"/>
        <family val="1"/>
      </rPr>
      <t>PO Invoice Date</t>
    </r>
  </si>
  <si>
    <r>
      <rPr>
        <sz val="12"/>
        <rFont val="細明體"/>
        <charset val="136"/>
      </rPr>
      <t>牌子</t>
    </r>
    <r>
      <rPr>
        <sz val="12"/>
        <rFont val="Times New Roman"/>
        <family val="1"/>
      </rPr>
      <t xml:space="preserve"> 
Brand</t>
    </r>
  </si>
  <si>
    <r>
      <rPr>
        <sz val="12"/>
        <rFont val="細明體"/>
        <charset val="136"/>
      </rPr>
      <t>型號</t>
    </r>
    <r>
      <rPr>
        <sz val="12"/>
        <rFont val="Times New Roman"/>
        <family val="1"/>
      </rPr>
      <t xml:space="preserve"> 
Model</t>
    </r>
  </si>
  <si>
    <r>
      <rPr>
        <sz val="12"/>
        <rFont val="細明體"/>
        <charset val="136"/>
      </rPr>
      <t>內容</t>
    </r>
    <r>
      <rPr>
        <sz val="12"/>
        <rFont val="Times New Roman"/>
        <family val="1"/>
      </rPr>
      <t xml:space="preserve"> 
Description</t>
    </r>
  </si>
  <si>
    <r>
      <rPr>
        <sz val="12"/>
        <rFont val="細明體"/>
        <charset val="136"/>
      </rPr>
      <t>數量</t>
    </r>
    <r>
      <rPr>
        <sz val="12"/>
        <rFont val="Times New Roman"/>
        <family val="1"/>
      </rPr>
      <t xml:space="preserve">
Quantity </t>
    </r>
  </si>
  <si>
    <r>
      <rPr>
        <sz val="12"/>
        <rFont val="細明體"/>
        <charset val="136"/>
      </rPr>
      <t>單位價格</t>
    </r>
    <r>
      <rPr>
        <sz val="12"/>
        <rFont val="Times New Roman"/>
        <family val="1"/>
      </rPr>
      <t xml:space="preserve">
Unit Rate</t>
    </r>
  </si>
  <si>
    <r>
      <rPr>
        <sz val="12"/>
        <rFont val="細明體"/>
        <charset val="136"/>
      </rPr>
      <t>合計</t>
    </r>
    <r>
      <rPr>
        <sz val="12"/>
        <rFont val="Times New Roman"/>
        <family val="1"/>
      </rPr>
      <t xml:space="preserve"> (</t>
    </r>
    <r>
      <rPr>
        <sz val="12"/>
        <rFont val="細明體"/>
        <charset val="136"/>
      </rPr>
      <t>港幣)</t>
    </r>
    <r>
      <rPr>
        <sz val="12"/>
        <rFont val="Times New Roman"/>
        <family val="1"/>
      </rPr>
      <t xml:space="preserve">
Amount (HKD)</t>
    </r>
  </si>
  <si>
    <t>DISS</t>
  </si>
  <si>
    <t>Camera</t>
  </si>
  <si>
    <r>
      <rPr>
        <sz val="12"/>
        <rFont val="細明體"/>
        <charset val="136"/>
      </rPr>
      <t>合計</t>
    </r>
    <r>
      <rPr>
        <sz val="12"/>
        <rFont val="Times New Roman"/>
        <family val="1"/>
      </rPr>
      <t xml:space="preserve"> Total:</t>
    </r>
  </si>
  <si>
    <t>Budget Prepared By (Sales Team):</t>
  </si>
  <si>
    <t>Actual Cost Prepared By (Purchasing Team):</t>
  </si>
  <si>
    <t>Name and Signature</t>
  </si>
  <si>
    <t>Budget Approved By: (Sales Team Leader)</t>
  </si>
  <si>
    <t>Actual Cost Approved By: (Sales Team Leader)</t>
  </si>
  <si>
    <r>
      <t xml:space="preserve">Replacement work of IP Dome Camera - 
CHEUNG SHA WAN DIVISIONAL POLICE STATION - </t>
    </r>
    <r>
      <rPr>
        <b/>
        <sz val="18"/>
        <rFont val="微軟正黑體"/>
        <charset val="136"/>
      </rPr>
      <t>長沙灣警署</t>
    </r>
    <phoneticPr fontId="98" type="noConversion"/>
  </si>
  <si>
    <t>Discount</t>
    <phoneticPr fontId="98" type="noConversion"/>
  </si>
  <si>
    <t>DI-F1200</t>
    <phoneticPr fontId="9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</si>
</sst>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HK$&quot;#,##0.00_);[Red]\(&quot;HK$&quot;#,##0.00\)"/>
    <numFmt numFmtId="176" formatCode="_-\$* #,##0.00_-;&quot;-$&quot;* #,##0.00_-;_-\$* \-??_-;_-@_-"/>
    <numFmt numFmtId="177" formatCode="_-* #,##0.00_-;\-* #,##0.00_-;_-* \-??_-;_-@_-"/>
    <numFmt numFmtId="178" formatCode="#,##0.00\ ;\-#,##0.00\ ;&quot; -&quot;#\ ;@\ "/>
    <numFmt numFmtId="179" formatCode="&quot; $&quot;#,##0.00\ ;&quot;-$&quot;#,##0.00\ ;&quot; $-&quot;#\ ;@\ "/>
    <numFmt numFmtId="180" formatCode="_-&quot;$&quot;* #,##0.00_-;\-&quot;$&quot;* #,##0.00_-;_-&quot;$&quot;* &quot;-&quot;??_-;_-@_-"/>
    <numFmt numFmtId="181" formatCode="[$$-1004]#,##0.00"/>
    <numFmt numFmtId="182" formatCode="[$$-1009]#,##0.00;[Red]\-[$$-1009]#,##0.00"/>
    <numFmt numFmtId="183" formatCode="0_);[Red]\(0\)"/>
    <numFmt numFmtId="184" formatCode="#,##0.00_ "/>
    <numFmt numFmtId="185" formatCode="\$#,##0.00"/>
    <numFmt numFmtId="186" formatCode="&quot;HK$&quot;#,##0.00"/>
  </numFmts>
  <fonts count="100">
    <font>
      <sz val="10"/>
      <name val="MingLiU"/>
      <charset val="134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2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B0F0"/>
      <name val="Times New Roman"/>
      <family val="1"/>
    </font>
    <font>
      <sz val="12"/>
      <color indexed="8"/>
      <name val="Times New Roman"/>
      <family val="1"/>
    </font>
    <font>
      <sz val="12"/>
      <name val="Malgun Gothic"/>
      <family val="2"/>
    </font>
    <font>
      <b/>
      <sz val="18"/>
      <name val="Times New Roman"/>
      <family val="1"/>
    </font>
    <font>
      <sz val="10"/>
      <name val="Times New Roman"/>
      <family val="1"/>
    </font>
    <font>
      <b/>
      <sz val="14"/>
      <color rgb="FF00000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1"/>
      <name val="Microsoft YaHei"/>
      <family val="2"/>
    </font>
    <font>
      <sz val="8"/>
      <name val="Arial"/>
      <family val="2"/>
    </font>
    <font>
      <b/>
      <sz val="14"/>
      <name val="Arial"/>
      <family val="2"/>
    </font>
    <font>
      <sz val="11"/>
      <color indexed="8"/>
      <name val="Arial"/>
      <family val="2"/>
    </font>
    <font>
      <u/>
      <sz val="10"/>
      <color theme="10"/>
      <name val="MingLiU"/>
      <charset val="134"/>
    </font>
    <font>
      <sz val="11"/>
      <color theme="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1"/>
      <color indexed="8"/>
      <name val="微軟正黑體"/>
      <charset val="136"/>
    </font>
    <font>
      <sz val="11"/>
      <name val="微軟正黑體"/>
      <charset val="136"/>
    </font>
    <font>
      <u/>
      <sz val="11"/>
      <color rgb="FF000000"/>
      <name val="Arial"/>
      <family val="2"/>
    </font>
    <font>
      <u/>
      <sz val="11"/>
      <color indexed="8"/>
      <name val="Arial"/>
      <family val="2"/>
    </font>
    <font>
      <sz val="11"/>
      <color rgb="FF000000"/>
      <name val="Arial"/>
      <family val="2"/>
    </font>
    <font>
      <b/>
      <sz val="11"/>
      <name val="微軟正黑體"/>
      <charset val="136"/>
    </font>
    <font>
      <b/>
      <sz val="11"/>
      <color indexed="8"/>
      <name val="Arial"/>
      <family val="2"/>
    </font>
    <font>
      <b/>
      <u/>
      <sz val="11"/>
      <color indexed="8"/>
      <name val="Arial"/>
      <family val="2"/>
    </font>
    <font>
      <b/>
      <u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5"/>
      <color indexed="8"/>
      <name val="Arial"/>
      <family val="2"/>
    </font>
    <font>
      <sz val="12"/>
      <color indexed="8"/>
      <name val="Arial"/>
      <family val="2"/>
    </font>
    <font>
      <b/>
      <sz val="30"/>
      <name val="Arial"/>
      <family val="2"/>
    </font>
    <font>
      <sz val="12"/>
      <color theme="1"/>
      <name val="Calibri"/>
      <family val="2"/>
    </font>
    <font>
      <b/>
      <sz val="16"/>
      <color rgb="FFFF0000"/>
      <name val="Arial"/>
      <family val="2"/>
    </font>
    <font>
      <sz val="11"/>
      <color rgb="FFFF0000"/>
      <name val="Arial"/>
      <family val="2"/>
    </font>
    <font>
      <u/>
      <sz val="9"/>
      <color theme="10"/>
      <name val="Arial"/>
      <family val="2"/>
    </font>
    <font>
      <sz val="11"/>
      <color rgb="FFFF0000"/>
      <name val="Microsoft YaHei"/>
      <family val="2"/>
    </font>
    <font>
      <b/>
      <sz val="12"/>
      <color theme="1"/>
      <name val="Arial"/>
      <family val="2"/>
    </font>
    <font>
      <b/>
      <sz val="28"/>
      <color indexed="8"/>
      <name val="Segoe Print"/>
    </font>
    <font>
      <b/>
      <sz val="24"/>
      <color indexed="8"/>
      <name val="Segoe Print"/>
    </font>
    <font>
      <sz val="10"/>
      <name val="MingLiU"/>
      <charset val="134"/>
    </font>
    <font>
      <sz val="12"/>
      <color indexed="8"/>
      <name val="新細明體"/>
      <charset val="136"/>
    </font>
    <font>
      <sz val="11"/>
      <color indexed="8"/>
      <name val="Calibri"/>
      <family val="2"/>
    </font>
    <font>
      <sz val="12"/>
      <color indexed="9"/>
      <name val="新細明體"/>
      <charset val="136"/>
    </font>
    <font>
      <sz val="11"/>
      <color indexed="9"/>
      <name val="Calibri"/>
      <family val="2"/>
    </font>
    <font>
      <sz val="10"/>
      <name val="新細明體"/>
      <charset val="136"/>
    </font>
    <font>
      <sz val="12"/>
      <color indexed="20"/>
      <name val="新細明體"/>
      <charset val="136"/>
    </font>
    <font>
      <b/>
      <sz val="12"/>
      <color indexed="52"/>
      <name val="新細明體"/>
      <charset val="136"/>
    </font>
    <font>
      <b/>
      <sz val="12"/>
      <color indexed="9"/>
      <name val="新細明體"/>
      <charset val="136"/>
    </font>
    <font>
      <sz val="11"/>
      <color indexed="60"/>
      <name val="Calibri"/>
      <family val="2"/>
    </font>
    <font>
      <i/>
      <sz val="12"/>
      <color indexed="23"/>
      <name val="新細明體"/>
      <charset val="136"/>
    </font>
    <font>
      <sz val="12"/>
      <color indexed="17"/>
      <name val="新細明體"/>
      <charset val="136"/>
    </font>
    <font>
      <sz val="12"/>
      <color indexed="8"/>
      <name val="MingLiU"/>
      <charset val="134"/>
    </font>
    <font>
      <b/>
      <sz val="15"/>
      <color indexed="56"/>
      <name val="Calibri"/>
      <family val="2"/>
    </font>
    <font>
      <b/>
      <sz val="15"/>
      <color indexed="62"/>
      <name val="新細明體"/>
      <charset val="136"/>
    </font>
    <font>
      <b/>
      <sz val="15"/>
      <color indexed="56"/>
      <name val="新細明體"/>
      <charset val="136"/>
    </font>
    <font>
      <b/>
      <sz val="18"/>
      <color indexed="56"/>
      <name val="新細明體"/>
      <charset val="136"/>
    </font>
    <font>
      <b/>
      <sz val="13"/>
      <color indexed="62"/>
      <name val="新細明體"/>
      <charset val="136"/>
    </font>
    <font>
      <b/>
      <sz val="13"/>
      <color indexed="56"/>
      <name val="新細明體"/>
      <charset val="136"/>
    </font>
    <font>
      <b/>
      <sz val="11"/>
      <color indexed="56"/>
      <name val="新細明體"/>
      <charset val="136"/>
    </font>
    <font>
      <b/>
      <sz val="11"/>
      <color indexed="62"/>
      <name val="新細明體"/>
      <charset val="136"/>
    </font>
    <font>
      <sz val="12"/>
      <color indexed="62"/>
      <name val="新細明體"/>
      <charset val="136"/>
    </font>
    <font>
      <sz val="12"/>
      <color indexed="52"/>
      <name val="新細明體"/>
      <charset val="136"/>
    </font>
    <font>
      <sz val="12"/>
      <color indexed="60"/>
      <name val="新細明體"/>
      <charset val="136"/>
    </font>
    <font>
      <b/>
      <sz val="12"/>
      <color indexed="63"/>
      <name val="新細明體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charset val="136"/>
    </font>
    <font>
      <b/>
      <sz val="12"/>
      <color indexed="8"/>
      <name val="新細明體"/>
      <charset val="136"/>
    </font>
    <font>
      <sz val="12"/>
      <color indexed="10"/>
      <name val="新細明體"/>
      <charset val="136"/>
    </font>
    <font>
      <sz val="12"/>
      <color theme="1"/>
      <name val="新細明體"/>
      <family val="1"/>
      <charset val="136"/>
      <scheme val="minor"/>
    </font>
    <font>
      <sz val="10"/>
      <name val="Microsoft YaHei"/>
      <family val="2"/>
    </font>
    <font>
      <sz val="10"/>
      <color indexed="8"/>
      <name val="MingLiU"/>
      <charset val="134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u/>
      <sz val="10"/>
      <color theme="10"/>
      <name val="Microsoft YaHei"/>
      <family val="2"/>
    </font>
    <font>
      <u/>
      <sz val="10"/>
      <color indexed="12"/>
      <name val="Microsoft YaHei"/>
      <family val="2"/>
    </font>
    <font>
      <u/>
      <sz val="12"/>
      <color theme="10"/>
      <name val="新細明體"/>
      <family val="1"/>
      <charset val="136"/>
      <scheme val="minor"/>
    </font>
    <font>
      <u/>
      <sz val="12"/>
      <color indexed="12"/>
      <name val="新細明體"/>
      <charset val="136"/>
    </font>
    <font>
      <u/>
      <sz val="10"/>
      <color indexed="12"/>
      <name val="MingLiU"/>
      <charset val="134"/>
    </font>
    <font>
      <i/>
      <sz val="11"/>
      <color indexed="23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sz val="12"/>
      <name val="細明體"/>
      <charset val="136"/>
    </font>
    <font>
      <b/>
      <sz val="18"/>
      <name val="微軟正黑體"/>
      <charset val="136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40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</fills>
  <borders count="4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hair">
        <color indexed="62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</borders>
  <cellStyleXfs count="415">
    <xf numFmtId="0" fontId="0" fillId="0" borderId="0"/>
    <xf numFmtId="176" fontId="47" fillId="0" borderId="0" applyFill="0" applyBorder="0" applyAlignment="0" applyProtection="0"/>
    <xf numFmtId="9" fontId="4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48" fillId="6" borderId="0" applyNumberFormat="0" applyBorder="0" applyAlignment="0" applyProtection="0"/>
    <xf numFmtId="0" fontId="48" fillId="2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7" borderId="0" applyNumberFormat="0" applyBorder="0" applyAlignment="0" applyProtection="0"/>
    <xf numFmtId="0" fontId="48" fillId="8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9" borderId="0" applyNumberFormat="0" applyBorder="0" applyAlignment="0" applyProtection="0"/>
    <xf numFmtId="0" fontId="48" fillId="10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11" borderId="0" applyNumberFormat="0" applyBorder="0" applyAlignment="0" applyProtection="0"/>
    <xf numFmtId="0" fontId="48" fillId="2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Border="0" applyProtection="0">
      <alignment vertical="center"/>
    </xf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Border="0" applyProtection="0">
      <alignment vertical="center"/>
    </xf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Border="0" applyProtection="0">
      <alignment vertical="center"/>
    </xf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Border="0" applyProtection="0">
      <alignment vertical="center"/>
    </xf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Border="0" applyProtection="0">
      <alignment vertical="center"/>
    </xf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Border="0" applyProtection="0">
      <alignment vertical="center"/>
    </xf>
    <xf numFmtId="0" fontId="48" fillId="13" borderId="0" applyNumberFormat="0" applyBorder="0" applyAlignment="0" applyProtection="0"/>
    <xf numFmtId="0" fontId="48" fillId="5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1" borderId="0" applyNumberFormat="0" applyBorder="0" applyAlignment="0" applyProtection="0"/>
    <xf numFmtId="0" fontId="48" fillId="5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7" borderId="0" applyNumberFormat="0" applyBorder="0" applyAlignment="0" applyProtection="0"/>
    <xf numFmtId="0" fontId="48" fillId="8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8" fillId="5" borderId="0" applyNumberFormat="0" applyBorder="0" applyAlignment="0" applyProtection="0"/>
    <xf numFmtId="0" fontId="48" fillId="5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Border="0" applyProtection="0">
      <alignment vertical="center"/>
    </xf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Border="0" applyProtection="0">
      <alignment vertical="center"/>
    </xf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6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Border="0" applyProtection="0">
      <alignment vertical="center"/>
    </xf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8" fillId="5" borderId="0" applyNumberFormat="0" applyBorder="0" applyAlignment="0" applyProtection="0"/>
    <xf numFmtId="0" fontId="48" fillId="5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Border="0" applyProtection="0">
      <alignment vertical="center"/>
    </xf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Border="0" applyProtection="0">
      <alignment vertical="center"/>
    </xf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Border="0" applyProtection="0">
      <alignment vertical="center"/>
    </xf>
    <xf numFmtId="0" fontId="50" fillId="18" borderId="0" applyNumberFormat="0" applyBorder="0" applyAlignment="0" applyProtection="0"/>
    <xf numFmtId="0" fontId="50" fillId="19" borderId="0" applyNumberFormat="0" applyBorder="0" applyAlignment="0" applyProtection="0"/>
    <xf numFmtId="0" fontId="50" fillId="14" borderId="0" applyNumberFormat="0" applyBorder="0" applyAlignment="0" applyProtection="0"/>
    <xf numFmtId="0" fontId="50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20" borderId="0" applyNumberFormat="0" applyBorder="0" applyAlignment="0" applyProtection="0"/>
    <xf numFmtId="0" fontId="50" fillId="5" borderId="0" applyNumberFormat="0" applyBorder="0" applyAlignment="0" applyProtection="0"/>
    <xf numFmtId="0" fontId="50" fillId="19" borderId="0" applyNumberFormat="0" applyBorder="0" applyAlignment="0" applyProtection="0"/>
    <xf numFmtId="0" fontId="50" fillId="21" borderId="0" applyNumberFormat="0" applyBorder="0" applyAlignment="0" applyProtection="0"/>
    <xf numFmtId="0" fontId="50" fillId="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Border="0" applyProtection="0">
      <alignment vertical="center"/>
    </xf>
    <xf numFmtId="0" fontId="51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Border="0" applyProtection="0">
      <alignment vertical="center"/>
    </xf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Border="0" applyProtection="0">
      <alignment vertical="center"/>
    </xf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20" borderId="0" applyNumberFormat="0" applyBorder="0" applyAlignment="0" applyProtection="0"/>
    <xf numFmtId="0" fontId="50" fillId="20" borderId="0" applyBorder="0" applyProtection="0">
      <alignment vertical="center"/>
    </xf>
    <xf numFmtId="0" fontId="51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Border="0" applyProtection="0">
      <alignment vertical="center"/>
    </xf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21" borderId="0" applyNumberFormat="0" applyBorder="0" applyAlignment="0" applyProtection="0"/>
    <xf numFmtId="0" fontId="50" fillId="21" borderId="0" applyBorder="0" applyProtection="0">
      <alignment vertical="center"/>
    </xf>
    <xf numFmtId="0" fontId="50" fillId="22" borderId="0" applyNumberFormat="0" applyBorder="0" applyAlignment="0" applyProtection="0"/>
    <xf numFmtId="0" fontId="50" fillId="19" borderId="0" applyNumberFormat="0" applyBorder="0" applyAlignment="0" applyProtection="0"/>
    <xf numFmtId="0" fontId="50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0" borderId="0" applyNumberFormat="0" applyBorder="0" applyAlignment="0" applyProtection="0"/>
    <xf numFmtId="0" fontId="50" fillId="25" borderId="0" applyNumberFormat="0" applyBorder="0" applyAlignment="0" applyProtection="0"/>
    <xf numFmtId="0" fontId="50" fillId="19" borderId="0" applyNumberFormat="0" applyBorder="0" applyAlignment="0" applyProtection="0"/>
    <xf numFmtId="0" fontId="50" fillId="26" borderId="0" applyNumberFormat="0" applyBorder="0" applyAlignment="0" applyProtection="0"/>
    <xf numFmtId="0" fontId="52" fillId="0" borderId="0"/>
    <xf numFmtId="0" fontId="53" fillId="7" borderId="0" applyNumberFormat="0" applyBorder="0" applyAlignment="0" applyProtection="0"/>
    <xf numFmtId="0" fontId="54" fillId="5" borderId="30" applyNumberFormat="0" applyAlignment="0" applyProtection="0"/>
    <xf numFmtId="0" fontId="54" fillId="2" borderId="30" applyNumberFormat="0" applyAlignment="0" applyProtection="0"/>
    <xf numFmtId="0" fontId="55" fillId="27" borderId="31" applyNumberFormat="0" applyAlignment="0" applyProtection="0"/>
    <xf numFmtId="0" fontId="47" fillId="0" borderId="0"/>
    <xf numFmtId="0" fontId="47" fillId="0" borderId="0"/>
    <xf numFmtId="0" fontId="56" fillId="16" borderId="0" applyNumberFormat="0" applyBorder="0" applyAlignment="0" applyProtection="0"/>
    <xf numFmtId="0" fontId="57" fillId="0" borderId="0" applyNumberFormat="0" applyFill="0" applyBorder="0" applyAlignment="0" applyProtection="0"/>
    <xf numFmtId="0" fontId="58" fillId="9" borderId="0" applyNumberFormat="0" applyBorder="0" applyAlignment="0" applyProtection="0"/>
    <xf numFmtId="0" fontId="59" fillId="0" borderId="0" applyBorder="0" applyProtection="0">
      <alignment vertical="center"/>
    </xf>
    <xf numFmtId="0" fontId="60" fillId="0" borderId="32" applyNumberFormat="0" applyFill="0" applyAlignment="0" applyProtection="0"/>
    <xf numFmtId="0" fontId="61" fillId="0" borderId="33" applyNumberFormat="0" applyFill="0" applyAlignment="0" applyProtection="0"/>
    <xf numFmtId="0" fontId="62" fillId="0" borderId="32" applyNumberFormat="0" applyFill="0" applyAlignment="0" applyProtection="0"/>
    <xf numFmtId="0" fontId="63" fillId="0" borderId="0" applyNumberFormat="0" applyFill="0" applyBorder="0" applyAlignment="0" applyProtection="0"/>
    <xf numFmtId="0" fontId="64" fillId="0" borderId="34" applyNumberFormat="0" applyFill="0" applyAlignment="0" applyProtection="0"/>
    <xf numFmtId="0" fontId="65" fillId="0" borderId="34" applyNumberFormat="0" applyFill="0" applyAlignment="0" applyProtection="0"/>
    <xf numFmtId="0" fontId="66" fillId="0" borderId="35" applyNumberFormat="0" applyFill="0" applyAlignment="0" applyProtection="0"/>
    <xf numFmtId="0" fontId="67" fillId="0" borderId="36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8" borderId="30" applyNumberFormat="0" applyAlignment="0" applyProtection="0"/>
    <xf numFmtId="0" fontId="69" fillId="0" borderId="37" applyNumberFormat="0" applyFill="0" applyAlignment="0" applyProtection="0"/>
    <xf numFmtId="0" fontId="70" fillId="16" borderId="0" applyNumberFormat="0" applyBorder="0" applyAlignment="0" applyProtection="0"/>
    <xf numFmtId="0" fontId="47" fillId="10" borderId="38" applyNumberFormat="0" applyAlignment="0" applyProtection="0"/>
    <xf numFmtId="0" fontId="47" fillId="10" borderId="38" applyNumberFormat="0" applyAlignment="0" applyProtection="0"/>
    <xf numFmtId="0" fontId="47" fillId="10" borderId="38" applyNumberFormat="0" applyAlignment="0" applyProtection="0"/>
    <xf numFmtId="0" fontId="47" fillId="10" borderId="38" applyNumberFormat="0" applyAlignment="0" applyProtection="0"/>
    <xf numFmtId="0" fontId="71" fillId="5" borderId="39" applyNumberFormat="0" applyAlignment="0" applyProtection="0"/>
    <xf numFmtId="0" fontId="71" fillId="2" borderId="39" applyNumberFormat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4" fillId="0" borderId="40" applyNumberFormat="0" applyFill="0" applyAlignment="0" applyProtection="0"/>
    <xf numFmtId="0" fontId="74" fillId="0" borderId="41" applyNumberFormat="0" applyFill="0" applyAlignment="0" applyProtection="0"/>
    <xf numFmtId="0" fontId="75" fillId="0" borderId="0" applyNumberFormat="0" applyFill="0" applyBorder="0" applyAlignment="0" applyProtection="0"/>
    <xf numFmtId="0" fontId="47" fillId="0" borderId="0"/>
    <xf numFmtId="0" fontId="47" fillId="0" borderId="0"/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48" fillId="0" borderId="0">
      <alignment vertical="center"/>
    </xf>
    <xf numFmtId="0" fontId="76" fillId="0" borderId="0">
      <alignment vertical="center"/>
    </xf>
    <xf numFmtId="0" fontId="48" fillId="0" borderId="0">
      <alignment vertical="center"/>
    </xf>
    <xf numFmtId="0" fontId="77" fillId="0" borderId="0"/>
    <xf numFmtId="0" fontId="47" fillId="0" borderId="0"/>
    <xf numFmtId="0" fontId="47" fillId="0" borderId="0"/>
    <xf numFmtId="0" fontId="77" fillId="0" borderId="0"/>
    <xf numFmtId="0" fontId="47" fillId="0" borderId="0"/>
    <xf numFmtId="0" fontId="59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48" fillId="0" borderId="0">
      <alignment vertical="center"/>
    </xf>
    <xf numFmtId="0" fontId="76" fillId="0" borderId="0">
      <alignment vertical="center"/>
    </xf>
    <xf numFmtId="0" fontId="48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48" fillId="0" borderId="0">
      <alignment vertical="center"/>
    </xf>
    <xf numFmtId="0" fontId="47" fillId="0" borderId="0"/>
    <xf numFmtId="0" fontId="77" fillId="0" borderId="0"/>
    <xf numFmtId="177" fontId="47" fillId="0" borderId="0" applyFill="0" applyBorder="0" applyAlignment="0" applyProtection="0"/>
    <xf numFmtId="177" fontId="47" fillId="0" borderId="0" applyFill="0" applyBorder="0" applyAlignment="0" applyProtection="0"/>
    <xf numFmtId="177" fontId="47" fillId="0" borderId="0" applyFill="0" applyBorder="0" applyAlignment="0" applyProtection="0"/>
    <xf numFmtId="177" fontId="47" fillId="0" borderId="0" applyFill="0" applyBorder="0" applyAlignment="0" applyProtection="0"/>
    <xf numFmtId="178" fontId="78" fillId="0" borderId="0" applyBorder="0" applyProtection="0">
      <alignment vertical="center"/>
    </xf>
    <xf numFmtId="0" fontId="56" fillId="16" borderId="0" applyNumberFormat="0" applyBorder="0" applyAlignment="0" applyProtection="0"/>
    <xf numFmtId="0" fontId="70" fillId="16" borderId="0" applyNumberFormat="0" applyBorder="0" applyAlignment="0" applyProtection="0"/>
    <xf numFmtId="0" fontId="70" fillId="16" borderId="0" applyBorder="0" applyProtection="0">
      <alignment vertical="center"/>
    </xf>
    <xf numFmtId="0" fontId="79" fillId="0" borderId="40" applyNumberFormat="0" applyFill="0" applyAlignment="0" applyProtection="0"/>
    <xf numFmtId="0" fontId="79" fillId="0" borderId="40" applyNumberFormat="0" applyFill="0" applyAlignment="0" applyProtection="0"/>
    <xf numFmtId="0" fontId="74" fillId="0" borderId="41" applyNumberFormat="0" applyFill="0" applyAlignment="0" applyProtection="0"/>
    <xf numFmtId="0" fontId="74" fillId="0" borderId="41" applyNumberFormat="0" applyFill="0" applyAlignment="0" applyProtection="0"/>
    <xf numFmtId="0" fontId="74" fillId="0" borderId="40" applyNumberFormat="0" applyFill="0" applyAlignment="0" applyProtection="0"/>
    <xf numFmtId="0" fontId="74" fillId="0" borderId="42" applyProtection="0">
      <alignment vertical="center"/>
    </xf>
    <xf numFmtId="0" fontId="80" fillId="9" borderId="0" applyNumberFormat="0" applyBorder="0" applyAlignment="0" applyProtection="0"/>
    <xf numFmtId="0" fontId="58" fillId="9" borderId="0" applyNumberFormat="0" applyBorder="0" applyAlignment="0" applyProtection="0"/>
    <xf numFmtId="0" fontId="58" fillId="9" borderId="0" applyBorder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77" fillId="0" borderId="0" applyFill="0" applyBorder="0" applyAlignment="0" applyProtection="0"/>
    <xf numFmtId="0" fontId="81" fillId="5" borderId="30" applyNumberFormat="0" applyAlignment="0" applyProtection="0"/>
    <xf numFmtId="0" fontId="81" fillId="5" borderId="30" applyNumberFormat="0" applyAlignment="0" applyProtection="0"/>
    <xf numFmtId="0" fontId="54" fillId="2" borderId="30" applyNumberFormat="0" applyAlignment="0" applyProtection="0"/>
    <xf numFmtId="0" fontId="54" fillId="2" borderId="30" applyNumberFormat="0" applyAlignment="0" applyProtection="0"/>
    <xf numFmtId="0" fontId="54" fillId="5" borderId="30" applyNumberFormat="0" applyAlignment="0" applyProtection="0"/>
    <xf numFmtId="0" fontId="54" fillId="5" borderId="43" applyProtection="0">
      <alignment vertical="center"/>
    </xf>
    <xf numFmtId="176" fontId="47" fillId="0" borderId="0" applyFill="0" applyBorder="0" applyAlignment="0" applyProtection="0"/>
    <xf numFmtId="0" fontId="77" fillId="0" borderId="0"/>
    <xf numFmtId="176" fontId="47" fillId="0" borderId="0" applyFill="0" applyBorder="0" applyAlignment="0" applyProtection="0"/>
    <xf numFmtId="176" fontId="47" fillId="0" borderId="0" applyFill="0" applyBorder="0" applyAlignment="0" applyProtection="0"/>
    <xf numFmtId="179" fontId="47" fillId="0" borderId="0" applyFill="0" applyBorder="0" applyAlignment="0" applyProtection="0"/>
    <xf numFmtId="179" fontId="47" fillId="0" borderId="0"/>
    <xf numFmtId="179" fontId="47" fillId="0" borderId="0" applyFill="0" applyBorder="0" applyAlignment="0" applyProtection="0"/>
    <xf numFmtId="180" fontId="76" fillId="0" borderId="0" applyFont="0" applyFill="0" applyBorder="0" applyAlignment="0" applyProtection="0">
      <alignment vertical="center"/>
    </xf>
    <xf numFmtId="180" fontId="76" fillId="0" borderId="0" applyFont="0" applyFill="0" applyBorder="0" applyAlignment="0" applyProtection="0">
      <alignment vertical="center"/>
    </xf>
    <xf numFmtId="180" fontId="76" fillId="0" borderId="0" applyFont="0" applyFill="0" applyBorder="0" applyAlignment="0" applyProtection="0">
      <alignment vertical="center"/>
    </xf>
    <xf numFmtId="176" fontId="47" fillId="0" borderId="0" applyFill="0" applyBorder="0" applyAlignment="0" applyProtection="0"/>
    <xf numFmtId="176" fontId="77" fillId="0" borderId="0" applyFill="0" applyBorder="0" applyAlignment="0" applyProtection="0"/>
    <xf numFmtId="180" fontId="76" fillId="0" borderId="0" applyFont="0" applyFill="0" applyBorder="0" applyAlignment="0" applyProtection="0">
      <alignment vertical="center"/>
    </xf>
    <xf numFmtId="179" fontId="47" fillId="0" borderId="0" applyFill="0" applyBorder="0" applyAlignment="0" applyProtection="0"/>
    <xf numFmtId="176" fontId="77" fillId="0" borderId="0" applyFill="0" applyBorder="0" applyAlignment="0" applyProtection="0"/>
    <xf numFmtId="176" fontId="47" fillId="0" borderId="0" applyFill="0" applyBorder="0" applyAlignment="0" applyProtection="0"/>
    <xf numFmtId="179" fontId="78" fillId="0" borderId="0" applyBorder="0" applyProtection="0">
      <alignment vertical="center"/>
    </xf>
    <xf numFmtId="0" fontId="82" fillId="0" borderId="37" applyNumberFormat="0" applyFill="0" applyAlignment="0" applyProtection="0"/>
    <xf numFmtId="0" fontId="69" fillId="0" borderId="37" applyNumberFormat="0" applyFill="0" applyAlignment="0" applyProtection="0"/>
    <xf numFmtId="0" fontId="69" fillId="0" borderId="37" applyProtection="0">
      <alignment vertical="center"/>
    </xf>
    <xf numFmtId="0" fontId="77" fillId="0" borderId="0"/>
    <xf numFmtId="0" fontId="77" fillId="0" borderId="0"/>
    <xf numFmtId="0" fontId="47" fillId="10" borderId="38" applyNumberFormat="0" applyAlignment="0" applyProtection="0"/>
    <xf numFmtId="0" fontId="47" fillId="10" borderId="38" applyNumberFormat="0" applyAlignment="0" applyProtection="0"/>
    <xf numFmtId="0" fontId="47" fillId="10" borderId="38" applyNumberFormat="0" applyAlignment="0" applyProtection="0"/>
    <xf numFmtId="0" fontId="78" fillId="10" borderId="44" applyProtection="0">
      <alignment vertical="center"/>
    </xf>
    <xf numFmtId="0" fontId="47" fillId="10" borderId="38" applyNumberFormat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Border="0" applyProtection="0">
      <alignment vertical="center"/>
    </xf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22" borderId="0" applyNumberFormat="0" applyBorder="0" applyAlignment="0" applyProtection="0"/>
    <xf numFmtId="0" fontId="50" fillId="22" borderId="0" applyBorder="0" applyProtection="0">
      <alignment vertical="center"/>
    </xf>
    <xf numFmtId="0" fontId="51" fillId="23" borderId="0" applyNumberFormat="0" applyBorder="0" applyAlignment="0" applyProtection="0"/>
    <xf numFmtId="0" fontId="50" fillId="23" borderId="0" applyNumberFormat="0" applyBorder="0" applyAlignment="0" applyProtection="0"/>
    <xf numFmtId="0" fontId="50" fillId="23" borderId="0" applyBorder="0" applyProtection="0">
      <alignment vertical="center"/>
    </xf>
    <xf numFmtId="0" fontId="51" fillId="24" borderId="0" applyNumberFormat="0" applyBorder="0" applyAlignment="0" applyProtection="0"/>
    <xf numFmtId="0" fontId="50" fillId="24" borderId="0" applyNumberFormat="0" applyBorder="0" applyAlignment="0" applyProtection="0"/>
    <xf numFmtId="0" fontId="50" fillId="24" borderId="0" applyBorder="0" applyProtection="0">
      <alignment vertical="center"/>
    </xf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0" fillId="25" borderId="0" applyNumberFormat="0" applyBorder="0" applyAlignment="0" applyProtection="0"/>
    <xf numFmtId="0" fontId="50" fillId="25" borderId="0" applyNumberFormat="0" applyBorder="0" applyAlignment="0" applyProtection="0"/>
    <xf numFmtId="0" fontId="50" fillId="20" borderId="0" applyNumberFormat="0" applyBorder="0" applyAlignment="0" applyProtection="0"/>
    <xf numFmtId="0" fontId="50" fillId="20" borderId="0" applyBorder="0" applyProtection="0">
      <alignment vertical="center"/>
    </xf>
    <xf numFmtId="0" fontId="51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Border="0" applyProtection="0">
      <alignment vertical="center"/>
    </xf>
    <xf numFmtId="0" fontId="51" fillId="26" borderId="0" applyNumberFormat="0" applyBorder="0" applyAlignment="0" applyProtection="0"/>
    <xf numFmtId="0" fontId="50" fillId="26" borderId="0" applyNumberFormat="0" applyBorder="0" applyAlignment="0" applyProtection="0"/>
    <xf numFmtId="0" fontId="50" fillId="26" borderId="0" applyBorder="0" applyProtection="0">
      <alignment vertical="center"/>
    </xf>
    <xf numFmtId="0" fontId="62" fillId="0" borderId="32" applyNumberFormat="0" applyFill="0" applyAlignment="0" applyProtection="0"/>
    <xf numFmtId="0" fontId="62" fillId="0" borderId="32" applyNumberFormat="0" applyFill="0" applyAlignment="0" applyProtection="0"/>
    <xf numFmtId="0" fontId="62" fillId="0" borderId="32" applyNumberFormat="0" applyFill="0" applyAlignment="0" applyProtection="0"/>
    <xf numFmtId="0" fontId="60" fillId="0" borderId="32" applyNumberFormat="0" applyFill="0" applyAlignment="0" applyProtection="0"/>
    <xf numFmtId="0" fontId="62" fillId="0" borderId="32" applyNumberFormat="0" applyFill="0" applyAlignment="0" applyProtection="0"/>
    <xf numFmtId="0" fontId="62" fillId="0" borderId="45" applyProtection="0">
      <alignment vertical="center"/>
    </xf>
    <xf numFmtId="0" fontId="62" fillId="0" borderId="45" applyProtection="0">
      <alignment vertical="center"/>
    </xf>
    <xf numFmtId="0" fontId="62" fillId="0" borderId="32" applyNumberFormat="0" applyFill="0" applyAlignment="0" applyProtection="0"/>
    <xf numFmtId="0" fontId="61" fillId="0" borderId="33" applyNumberFormat="0" applyFill="0" applyAlignment="0" applyProtection="0"/>
    <xf numFmtId="0" fontId="60" fillId="0" borderId="32" applyNumberFormat="0" applyFill="0" applyAlignment="0" applyProtection="0"/>
    <xf numFmtId="0" fontId="60" fillId="0" borderId="45" applyProtection="0">
      <alignment vertical="center"/>
    </xf>
    <xf numFmtId="0" fontId="61" fillId="0" borderId="33" applyNumberFormat="0" applyFill="0" applyAlignment="0" applyProtection="0"/>
    <xf numFmtId="0" fontId="60" fillId="0" borderId="32" applyNumberFormat="0" applyFill="0" applyAlignment="0" applyProtection="0"/>
    <xf numFmtId="0" fontId="62" fillId="0" borderId="32" applyNumberFormat="0" applyFill="0" applyAlignment="0" applyProtection="0"/>
    <xf numFmtId="0" fontId="62" fillId="0" borderId="45" applyProtection="0">
      <alignment vertical="center"/>
    </xf>
    <xf numFmtId="0" fontId="61" fillId="0" borderId="33" applyNumberFormat="0" applyFill="0" applyAlignment="0" applyProtection="0"/>
    <xf numFmtId="0" fontId="62" fillId="0" borderId="32" applyNumberFormat="0" applyFill="0" applyAlignment="0" applyProtection="0"/>
    <xf numFmtId="0" fontId="62" fillId="0" borderId="45" applyProtection="0">
      <alignment vertical="center"/>
    </xf>
    <xf numFmtId="0" fontId="61" fillId="0" borderId="33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2" fillId="0" borderId="32" applyNumberFormat="0" applyFill="0" applyAlignment="0" applyProtection="0"/>
    <xf numFmtId="0" fontId="62" fillId="0" borderId="32" applyNumberFormat="0" applyFill="0" applyProtection="0">
      <alignment vertical="center"/>
    </xf>
    <xf numFmtId="0" fontId="65" fillId="0" borderId="34" applyNumberFormat="0" applyFill="0" applyAlignment="0" applyProtection="0"/>
    <xf numFmtId="0" fontId="63" fillId="0" borderId="0" applyNumberFormat="0" applyFill="0" applyBorder="0" applyAlignment="0" applyProtection="0"/>
    <xf numFmtId="0" fontId="65" fillId="0" borderId="34" applyNumberFormat="0" applyFill="0" applyAlignment="0" applyProtection="0"/>
    <xf numFmtId="0" fontId="89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46" applyProtection="0">
      <alignment vertical="center"/>
    </xf>
    <xf numFmtId="0" fontId="63" fillId="0" borderId="0" applyBorder="0" applyProtection="0">
      <alignment vertical="center"/>
    </xf>
    <xf numFmtId="0" fontId="65" fillId="0" borderId="34" applyNumberFormat="0" applyFill="0" applyAlignment="0" applyProtection="0"/>
    <xf numFmtId="0" fontId="64" fillId="0" borderId="34" applyNumberFormat="0" applyFill="0" applyAlignment="0" applyProtection="0"/>
    <xf numFmtId="0" fontId="89" fillId="0" borderId="3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Border="0" applyProtection="0">
      <alignment vertical="center"/>
    </xf>
    <xf numFmtId="0" fontId="7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65" fillId="0" borderId="34" applyNumberFormat="0" applyFill="0" applyAlignment="0" applyProtection="0"/>
    <xf numFmtId="0" fontId="72" fillId="0" borderId="0" applyBorder="0" applyProtection="0">
      <alignment vertical="center"/>
    </xf>
    <xf numFmtId="0" fontId="7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Border="0" applyProtection="0">
      <alignment vertical="center"/>
    </xf>
    <xf numFmtId="0" fontId="64" fillId="0" borderId="34"/>
    <xf numFmtId="0" fontId="64" fillId="0" borderId="34" applyNumberFormat="0" applyFill="0" applyAlignment="0" applyProtection="0"/>
    <xf numFmtId="0" fontId="73" fillId="0" borderId="0" applyNumberFormat="0" applyFill="0" applyBorder="0" applyAlignment="0" applyProtection="0"/>
    <xf numFmtId="0" fontId="64" fillId="0" borderId="34" applyNumberFormat="0" applyFill="0" applyAlignment="0" applyProtection="0"/>
    <xf numFmtId="0" fontId="65" fillId="0" borderId="34" applyNumberFormat="0" applyFill="0" applyAlignment="0" applyProtection="0"/>
    <xf numFmtId="0" fontId="63" fillId="0" borderId="0" applyBorder="0" applyProtection="0">
      <alignment vertical="center"/>
    </xf>
    <xf numFmtId="0" fontId="7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Protection="0">
      <alignment vertical="center"/>
    </xf>
    <xf numFmtId="0" fontId="90" fillId="0" borderId="35" applyNumberFormat="0" applyFill="0" applyAlignment="0" applyProtection="0"/>
    <xf numFmtId="0" fontId="90" fillId="0" borderId="35" applyNumberFormat="0" applyFill="0" applyAlignment="0" applyProtection="0"/>
    <xf numFmtId="0" fontId="67" fillId="0" borderId="36" applyNumberFormat="0" applyFill="0" applyAlignment="0" applyProtection="0"/>
    <xf numFmtId="0" fontId="67" fillId="0" borderId="36" applyNumberFormat="0" applyFill="0" applyAlignment="0" applyProtection="0"/>
    <xf numFmtId="0" fontId="66" fillId="0" borderId="35" applyNumberFormat="0" applyFill="0" applyAlignment="0" applyProtection="0"/>
    <xf numFmtId="0" fontId="66" fillId="0" borderId="47" applyProtection="0">
      <alignment vertical="center"/>
    </xf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Border="0" applyProtection="0">
      <alignment vertical="center"/>
    </xf>
    <xf numFmtId="0" fontId="91" fillId="8" borderId="30" applyNumberFormat="0" applyAlignment="0" applyProtection="0"/>
    <xf numFmtId="0" fontId="68" fillId="8" borderId="30" applyNumberFormat="0" applyAlignment="0" applyProtection="0"/>
    <xf numFmtId="0" fontId="68" fillId="8" borderId="43" applyProtection="0">
      <alignment vertical="center"/>
    </xf>
    <xf numFmtId="0" fontId="92" fillId="5" borderId="39" applyNumberFormat="0" applyAlignment="0" applyProtection="0"/>
    <xf numFmtId="0" fontId="92" fillId="5" borderId="39" applyNumberFormat="0" applyAlignment="0" applyProtection="0"/>
    <xf numFmtId="0" fontId="71" fillId="2" borderId="39" applyNumberFormat="0" applyAlignment="0" applyProtection="0"/>
    <xf numFmtId="0" fontId="71" fillId="2" borderId="39" applyNumberFormat="0" applyAlignment="0" applyProtection="0"/>
    <xf numFmtId="0" fontId="71" fillId="5" borderId="39" applyNumberFormat="0" applyAlignment="0" applyProtection="0"/>
    <xf numFmtId="0" fontId="71" fillId="5" borderId="48" applyProtection="0">
      <alignment vertical="center"/>
    </xf>
    <xf numFmtId="0" fontId="93" fillId="27" borderId="31" applyNumberFormat="0" applyAlignment="0" applyProtection="0"/>
    <xf numFmtId="0" fontId="55" fillId="27" borderId="31" applyNumberFormat="0" applyAlignment="0" applyProtection="0"/>
    <xf numFmtId="0" fontId="55" fillId="27" borderId="31" applyProtection="0">
      <alignment vertical="center"/>
    </xf>
    <xf numFmtId="0" fontId="94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Border="0" applyProtection="0">
      <alignment vertical="center"/>
    </xf>
    <xf numFmtId="0" fontId="9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Border="0" applyProtection="0">
      <alignment vertical="center"/>
    </xf>
  </cellStyleXfs>
  <cellXfs count="221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8" fontId="5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8" fontId="6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8" fontId="1" fillId="0" borderId="3" xfId="0" applyNumberFormat="1" applyFont="1" applyBorder="1" applyAlignment="1">
      <alignment horizontal="center" vertical="center"/>
    </xf>
    <xf numFmtId="9" fontId="1" fillId="0" borderId="3" xfId="2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81" fontId="1" fillId="0" borderId="8" xfId="0" applyNumberFormat="1" applyFont="1" applyBorder="1" applyAlignment="1">
      <alignment horizontal="center" vertical="center"/>
    </xf>
    <xf numFmtId="182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182" fontId="1" fillId="0" borderId="5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176" fontId="7" fillId="0" borderId="8" xfId="1" applyFont="1" applyFill="1" applyBorder="1" applyAlignment="1" applyProtection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182" fontId="1" fillId="4" borderId="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14" fontId="1" fillId="0" borderId="0" xfId="0" applyNumberFormat="1" applyFont="1" applyAlignment="1">
      <alignment horizontal="left" vertical="center"/>
    </xf>
    <xf numFmtId="14" fontId="1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8" fontId="1" fillId="0" borderId="0" xfId="0" applyNumberFormat="1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 vertical="top" wrapText="1"/>
    </xf>
    <xf numFmtId="14" fontId="1" fillId="0" borderId="3" xfId="0" applyNumberFormat="1" applyFont="1" applyBorder="1" applyAlignment="1">
      <alignment horizontal="center" vertical="center"/>
    </xf>
    <xf numFmtId="9" fontId="1" fillId="0" borderId="0" xfId="2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82" fontId="1" fillId="0" borderId="12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182" fontId="1" fillId="0" borderId="0" xfId="0" applyNumberFormat="1" applyFont="1" applyAlignment="1">
      <alignment horizontal="center" vertical="center"/>
    </xf>
    <xf numFmtId="182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82" fontId="1" fillId="4" borderId="1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" fillId="0" borderId="3" xfId="0" applyNumberFormat="1" applyFont="1" applyBorder="1" applyAlignment="1">
      <alignment horizontal="left" vertical="center"/>
    </xf>
    <xf numFmtId="9" fontId="1" fillId="0" borderId="3" xfId="2" applyFont="1" applyBorder="1" applyAlignment="1">
      <alignment horizontal="right" vertical="center"/>
    </xf>
    <xf numFmtId="182" fontId="1" fillId="0" borderId="0" xfId="0" applyNumberFormat="1" applyFont="1" applyAlignment="1">
      <alignment horizontal="right" vertical="center"/>
    </xf>
    <xf numFmtId="182" fontId="1" fillId="0" borderId="16" xfId="0" applyNumberFormat="1" applyFont="1" applyBorder="1" applyAlignment="1">
      <alignment horizontal="center" vertical="center"/>
    </xf>
    <xf numFmtId="182" fontId="1" fillId="0" borderId="14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3" fillId="0" borderId="0" xfId="0" applyFont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6" fillId="0" borderId="0" xfId="0" applyFont="1"/>
    <xf numFmtId="176" fontId="16" fillId="0" borderId="0" xfId="1" applyFont="1" applyFill="1" applyBorder="1" applyAlignment="1" applyProtection="1"/>
    <xf numFmtId="0" fontId="17" fillId="0" borderId="0" xfId="0" applyFont="1" applyAlignment="1">
      <alignment vertical="top"/>
    </xf>
    <xf numFmtId="0" fontId="16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2" fillId="0" borderId="0" xfId="189" applyFont="1"/>
    <xf numFmtId="0" fontId="12" fillId="0" borderId="0" xfId="220" applyFont="1"/>
    <xf numFmtId="0" fontId="13" fillId="0" borderId="0" xfId="189" applyFont="1" applyAlignment="1">
      <alignment vertical="center"/>
    </xf>
    <xf numFmtId="0" fontId="12" fillId="0" borderId="0" xfId="22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8" fillId="0" borderId="0" xfId="189" applyFont="1"/>
    <xf numFmtId="0" fontId="20" fillId="0" borderId="0" xfId="3" applyFont="1" applyAlignment="1">
      <alignment horizontal="left" vertical="center" wrapText="1"/>
    </xf>
    <xf numFmtId="0" fontId="21" fillId="0" borderId="0" xfId="0" applyFont="1"/>
    <xf numFmtId="0" fontId="17" fillId="0" borderId="0" xfId="0" applyFont="1"/>
    <xf numFmtId="0" fontId="12" fillId="0" borderId="0" xfId="0" applyFont="1" applyAlignment="1">
      <alignment horizontal="left"/>
    </xf>
    <xf numFmtId="0" fontId="22" fillId="0" borderId="0" xfId="0" applyFont="1"/>
    <xf numFmtId="0" fontId="21" fillId="5" borderId="17" xfId="0" applyFont="1" applyFill="1" applyBorder="1" applyAlignment="1">
      <alignment horizontal="center" vertical="center"/>
    </xf>
    <xf numFmtId="0" fontId="24" fillId="5" borderId="18" xfId="0" applyFont="1" applyFill="1" applyBorder="1" applyAlignment="1">
      <alignment horizontal="center" vertical="center"/>
    </xf>
    <xf numFmtId="0" fontId="24" fillId="5" borderId="19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/>
    <xf numFmtId="0" fontId="25" fillId="0" borderId="0" xfId="0" applyFont="1"/>
    <xf numFmtId="0" fontId="18" fillId="0" borderId="13" xfId="0" applyFont="1" applyBorder="1"/>
    <xf numFmtId="0" fontId="21" fillId="0" borderId="13" xfId="0" applyFont="1" applyBorder="1" applyAlignment="1">
      <alignment horizontal="center"/>
    </xf>
    <xf numFmtId="0" fontId="25" fillId="0" borderId="0" xfId="189" applyFont="1"/>
    <xf numFmtId="0" fontId="18" fillId="0" borderId="13" xfId="189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28" fillId="0" borderId="0" xfId="190" applyFont="1"/>
    <xf numFmtId="0" fontId="18" fillId="0" borderId="0" xfId="190" applyFont="1"/>
    <xf numFmtId="0" fontId="18" fillId="0" borderId="21" xfId="190" applyFont="1" applyBorder="1" applyAlignment="1">
      <alignment horizontal="center"/>
    </xf>
    <xf numFmtId="0" fontId="29" fillId="0" borderId="0" xfId="0" applyFont="1"/>
    <xf numFmtId="0" fontId="12" fillId="0" borderId="13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25" fillId="0" borderId="22" xfId="0" applyFont="1" applyBorder="1"/>
    <xf numFmtId="0" fontId="25" fillId="0" borderId="2" xfId="0" applyFont="1" applyBorder="1"/>
    <xf numFmtId="0" fontId="25" fillId="0" borderId="2" xfId="189" applyFont="1" applyBorder="1"/>
    <xf numFmtId="0" fontId="18" fillId="0" borderId="7" xfId="189" applyFont="1" applyBorder="1" applyAlignment="1">
      <alignment horizontal="center"/>
    </xf>
    <xf numFmtId="0" fontId="31" fillId="0" borderId="0" xfId="0" applyFont="1" applyAlignment="1">
      <alignment horizontal="left"/>
    </xf>
    <xf numFmtId="0" fontId="32" fillId="0" borderId="0" xfId="0" applyFont="1"/>
    <xf numFmtId="0" fontId="31" fillId="0" borderId="0" xfId="0" applyFont="1"/>
    <xf numFmtId="0" fontId="33" fillId="0" borderId="0" xfId="0" applyFont="1" applyAlignment="1">
      <alignment horizontal="left" vertical="center"/>
    </xf>
    <xf numFmtId="0" fontId="12" fillId="0" borderId="0" xfId="0" applyFont="1" applyAlignment="1">
      <alignment vertical="top"/>
    </xf>
    <xf numFmtId="4" fontId="12" fillId="0" borderId="0" xfId="0" applyNumberFormat="1" applyFont="1" applyAlignment="1">
      <alignment horizontal="left" vertical="top"/>
    </xf>
    <xf numFmtId="0" fontId="34" fillId="0" borderId="0" xfId="0" applyFont="1" applyAlignment="1">
      <alignment horizontal="left"/>
    </xf>
    <xf numFmtId="4" fontId="35" fillId="0" borderId="0" xfId="0" applyNumberFormat="1" applyFont="1"/>
    <xf numFmtId="0" fontId="34" fillId="0" borderId="0" xfId="0" applyFont="1"/>
    <xf numFmtId="0" fontId="35" fillId="0" borderId="0" xfId="0" applyFont="1" applyAlignment="1">
      <alignment horizontal="left" vertical="center"/>
    </xf>
    <xf numFmtId="4" fontId="35" fillId="0" borderId="0" xfId="0" applyNumberFormat="1" applyFont="1" applyAlignment="1">
      <alignment horizontal="left" vertical="center"/>
    </xf>
    <xf numFmtId="0" fontId="36" fillId="0" borderId="2" xfId="0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9" fillId="0" borderId="0" xfId="240" applyFont="1" applyAlignment="1">
      <alignment horizontal="center" vertical="center" wrapText="1"/>
    </xf>
    <xf numFmtId="0" fontId="40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1" applyNumberFormat="1" applyFont="1" applyFill="1" applyBorder="1" applyAlignment="1" applyProtection="1"/>
    <xf numFmtId="0" fontId="41" fillId="0" borderId="0" xfId="0" applyFont="1"/>
    <xf numFmtId="176" fontId="21" fillId="0" borderId="0" xfId="1" applyFont="1" applyFill="1" applyBorder="1" applyAlignment="1" applyProtection="1"/>
    <xf numFmtId="176" fontId="22" fillId="0" borderId="0" xfId="1" applyFont="1" applyFill="1" applyBorder="1" applyAlignment="1" applyProtection="1"/>
    <xf numFmtId="176" fontId="24" fillId="5" borderId="17" xfId="1" applyFont="1" applyFill="1" applyBorder="1" applyAlignment="1" applyProtection="1">
      <alignment horizontal="center" vertical="center" wrapText="1"/>
    </xf>
    <xf numFmtId="0" fontId="24" fillId="5" borderId="17" xfId="0" applyFont="1" applyFill="1" applyBorder="1" applyAlignment="1">
      <alignment horizontal="center" vertical="center"/>
    </xf>
    <xf numFmtId="0" fontId="24" fillId="5" borderId="17" xfId="0" applyFont="1" applyFill="1" applyBorder="1" applyAlignment="1">
      <alignment horizontal="center" vertical="center" wrapText="1"/>
    </xf>
    <xf numFmtId="176" fontId="24" fillId="5" borderId="23" xfId="1" applyFont="1" applyFill="1" applyBorder="1" applyAlignment="1" applyProtection="1">
      <alignment horizontal="center" vertical="center" wrapText="1"/>
    </xf>
    <xf numFmtId="4" fontId="18" fillId="0" borderId="13" xfId="1" applyNumberFormat="1" applyFont="1" applyFill="1" applyBorder="1" applyAlignment="1" applyProtection="1">
      <alignment horizontal="center"/>
    </xf>
    <xf numFmtId="183" fontId="18" fillId="0" borderId="13" xfId="0" applyNumberFormat="1" applyFont="1" applyBorder="1" applyAlignment="1">
      <alignment horizontal="center"/>
    </xf>
    <xf numFmtId="183" fontId="18" fillId="0" borderId="24" xfId="0" applyNumberFormat="1" applyFont="1" applyBorder="1" applyAlignment="1">
      <alignment horizontal="center"/>
    </xf>
    <xf numFmtId="184" fontId="18" fillId="0" borderId="25" xfId="1" applyNumberFormat="1" applyFont="1" applyFill="1" applyBorder="1" applyAlignment="1" applyProtection="1">
      <alignment horizontal="right"/>
    </xf>
    <xf numFmtId="184" fontId="18" fillId="0" borderId="26" xfId="1" applyNumberFormat="1" applyFont="1" applyFill="1" applyBorder="1" applyAlignment="1" applyProtection="1">
      <alignment horizontal="right"/>
    </xf>
    <xf numFmtId="185" fontId="12" fillId="0" borderId="13" xfId="189" applyNumberFormat="1" applyFont="1" applyBorder="1" applyAlignment="1">
      <alignment horizontal="center"/>
    </xf>
    <xf numFmtId="0" fontId="12" fillId="0" borderId="13" xfId="189" applyFont="1" applyBorder="1" applyAlignment="1">
      <alignment horizontal="center"/>
    </xf>
    <xf numFmtId="9" fontId="12" fillId="0" borderId="24" xfId="189" applyNumberFormat="1" applyFont="1" applyBorder="1" applyAlignment="1">
      <alignment horizontal="center"/>
    </xf>
    <xf numFmtId="185" fontId="12" fillId="0" borderId="26" xfId="189" applyNumberFormat="1" applyFont="1" applyBorder="1" applyAlignment="1">
      <alignment horizontal="center"/>
    </xf>
    <xf numFmtId="185" fontId="12" fillId="0" borderId="21" xfId="190" applyNumberFormat="1" applyFont="1" applyBorder="1" applyAlignment="1">
      <alignment horizontal="center"/>
    </xf>
    <xf numFmtId="0" fontId="12" fillId="0" borderId="21" xfId="190" applyFont="1" applyBorder="1" applyAlignment="1">
      <alignment horizontal="center"/>
    </xf>
    <xf numFmtId="9" fontId="12" fillId="0" borderId="26" xfId="190" applyNumberFormat="1" applyFont="1" applyBorder="1" applyAlignment="1">
      <alignment horizontal="center"/>
    </xf>
    <xf numFmtId="185" fontId="20" fillId="0" borderId="26" xfId="190" applyNumberFormat="1" applyFont="1" applyBorder="1" applyAlignment="1">
      <alignment horizontal="center"/>
    </xf>
    <xf numFmtId="0" fontId="43" fillId="0" borderId="0" xfId="0" applyFont="1"/>
    <xf numFmtId="185" fontId="20" fillId="0" borderId="26" xfId="189" applyNumberFormat="1" applyFont="1" applyBorder="1" applyAlignment="1">
      <alignment horizontal="center"/>
    </xf>
    <xf numFmtId="185" fontId="12" fillId="0" borderId="7" xfId="189" applyNumberFormat="1" applyFont="1" applyBorder="1" applyAlignment="1">
      <alignment horizontal="center"/>
    </xf>
    <xf numFmtId="0" fontId="12" fillId="0" borderId="7" xfId="189" applyFont="1" applyBorder="1" applyAlignment="1">
      <alignment horizontal="center"/>
    </xf>
    <xf numFmtId="0" fontId="12" fillId="0" borderId="27" xfId="189" applyFont="1" applyBorder="1" applyAlignment="1">
      <alignment horizontal="center"/>
    </xf>
    <xf numFmtId="185" fontId="20" fillId="0" borderId="28" xfId="189" applyNumberFormat="1" applyFont="1" applyBorder="1" applyAlignment="1">
      <alignment horizontal="center"/>
    </xf>
    <xf numFmtId="176" fontId="18" fillId="0" borderId="0" xfId="1" applyFont="1" applyFill="1" applyBorder="1" applyAlignment="1" applyProtection="1">
      <alignment horizontal="right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186" fontId="44" fillId="0" borderId="29" xfId="1" applyNumberFormat="1" applyFont="1" applyFill="1" applyBorder="1" applyAlignment="1" applyProtection="1">
      <alignment horizontal="center"/>
    </xf>
    <xf numFmtId="186" fontId="44" fillId="0" borderId="0" xfId="1" applyNumberFormat="1" applyFont="1" applyFill="1" applyBorder="1" applyAlignment="1" applyProtection="1">
      <alignment horizontal="center"/>
    </xf>
    <xf numFmtId="176" fontId="12" fillId="0" borderId="0" xfId="1" applyFont="1" applyFill="1" applyBorder="1" applyAlignment="1" applyProtection="1"/>
    <xf numFmtId="4" fontId="18" fillId="0" borderId="0" xfId="0" applyNumberFormat="1" applyFont="1" applyAlignment="1">
      <alignment horizontal="right"/>
    </xf>
    <xf numFmtId="4" fontId="20" fillId="0" borderId="0" xfId="0" applyNumberFormat="1" applyFont="1" applyAlignment="1">
      <alignment horizontal="right"/>
    </xf>
    <xf numFmtId="176" fontId="34" fillId="0" borderId="0" xfId="1" applyFont="1" applyFill="1" applyBorder="1" applyAlignment="1" applyProtection="1">
      <alignment horizontal="left"/>
    </xf>
    <xf numFmtId="176" fontId="35" fillId="0" borderId="0" xfId="1" applyFont="1" applyFill="1" applyBorder="1" applyAlignment="1" applyProtection="1">
      <alignment horizontal="left"/>
    </xf>
    <xf numFmtId="176" fontId="35" fillId="0" borderId="0" xfId="1" applyFont="1" applyFill="1" applyBorder="1" applyAlignment="1" applyProtection="1">
      <alignment vertical="center"/>
    </xf>
    <xf numFmtId="14" fontId="13" fillId="0" borderId="0" xfId="0" applyNumberFormat="1" applyFont="1" applyAlignment="1">
      <alignment horizontal="left" vertical="center"/>
    </xf>
    <xf numFmtId="176" fontId="35" fillId="0" borderId="0" xfId="1" applyFont="1" applyFill="1" applyBorder="1" applyAlignment="1" applyProtection="1">
      <alignment horizontal="left" vertical="center"/>
    </xf>
    <xf numFmtId="0" fontId="35" fillId="0" borderId="0" xfId="0" applyFont="1" applyAlignment="1">
      <alignment vertical="center"/>
    </xf>
    <xf numFmtId="14" fontId="45" fillId="0" borderId="0" xfId="0" applyNumberFormat="1" applyFont="1" applyAlignment="1">
      <alignment horizontal="center" vertical="center"/>
    </xf>
    <xf numFmtId="14" fontId="45" fillId="0" borderId="2" xfId="0" applyNumberFormat="1" applyFont="1" applyBorder="1" applyAlignment="1">
      <alignment horizontal="center" vertical="center"/>
    </xf>
    <xf numFmtId="14" fontId="46" fillId="0" borderId="2" xfId="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14" fontId="18" fillId="0" borderId="0" xfId="0" applyNumberFormat="1" applyFont="1" applyAlignment="1">
      <alignment horizontal="left"/>
    </xf>
    <xf numFmtId="14" fontId="12" fillId="0" borderId="0" xfId="1" applyNumberFormat="1" applyFont="1" applyFill="1" applyBorder="1" applyAlignment="1" applyProtection="1">
      <alignment horizontal="left" vertical="center"/>
    </xf>
    <xf numFmtId="14" fontId="18" fillId="0" borderId="0" xfId="0" applyNumberFormat="1" applyFont="1" applyAlignment="1">
      <alignment horizontal="left" vertical="center"/>
    </xf>
    <xf numFmtId="0" fontId="19" fillId="0" borderId="0" xfId="3" quotePrefix="1" applyAlignment="1">
      <alignment horizontal="left" vertical="center"/>
    </xf>
    <xf numFmtId="0" fontId="12" fillId="0" borderId="0" xfId="0" quotePrefix="1" applyFont="1"/>
    <xf numFmtId="0" fontId="42" fillId="0" borderId="0" xfId="3" quotePrefix="1" applyFont="1"/>
    <xf numFmtId="0" fontId="12" fillId="0" borderId="0" xfId="0" quotePrefix="1" applyFont="1" applyAlignment="1">
      <alignment vertical="top"/>
    </xf>
    <xf numFmtId="0" fontId="99" fillId="0" borderId="20" xfId="0" applyFont="1" applyBorder="1" applyAlignment="1">
      <alignment horizontal="left"/>
    </xf>
    <xf numFmtId="14" fontId="12" fillId="0" borderId="0" xfId="1" applyNumberFormat="1" applyFont="1" applyFill="1" applyBorder="1" applyAlignment="1" applyProtection="1">
      <alignment horizontal="left"/>
    </xf>
    <xf numFmtId="0" fontId="12" fillId="0" borderId="0" xfId="1" applyNumberFormat="1" applyFont="1" applyFill="1" applyBorder="1" applyAlignment="1" applyProtection="1">
      <alignment horizontal="left"/>
    </xf>
    <xf numFmtId="14" fontId="12" fillId="0" borderId="0" xfId="1" applyNumberFormat="1" applyFont="1" applyFill="1" applyBorder="1" applyAlignment="1" applyProtection="1"/>
    <xf numFmtId="0" fontId="12" fillId="0" borderId="0" xfId="0" applyFont="1"/>
    <xf numFmtId="0" fontId="2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18" fillId="0" borderId="0" xfId="0" applyFont="1" applyAlignment="1">
      <alignment horizontal="left"/>
    </xf>
    <xf numFmtId="0" fontId="12" fillId="0" borderId="0" xfId="1" applyNumberFormat="1" applyFont="1" applyFill="1" applyBorder="1" applyAlignment="1" applyProtection="1"/>
    <xf numFmtId="0" fontId="38" fillId="0" borderId="0" xfId="0" applyFont="1" applyAlignment="1">
      <alignment horizontal="right" vertical="top"/>
    </xf>
    <xf numFmtId="0" fontId="1" fillId="0" borderId="4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8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4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8" fontId="5" fillId="0" borderId="3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</cellXfs>
  <cellStyles count="415">
    <cellStyle name="20% - Accent1" xfId="4" xr:uid="{00000000-0005-0000-0000-000000000000}"/>
    <cellStyle name="20% - Accent1 2" xfId="5" xr:uid="{00000000-0005-0000-0000-000001000000}"/>
    <cellStyle name="20% - Accent1 2 2" xfId="6" xr:uid="{00000000-0005-0000-0000-000002000000}"/>
    <cellStyle name="20% - Accent1 3" xfId="7" xr:uid="{00000000-0005-0000-0000-000003000000}"/>
    <cellStyle name="20% - Accent2" xfId="8" xr:uid="{00000000-0005-0000-0000-000004000000}"/>
    <cellStyle name="20% - Accent2 2" xfId="9" xr:uid="{00000000-0005-0000-0000-000005000000}"/>
    <cellStyle name="20% - Accent2 2 2" xfId="10" xr:uid="{00000000-0005-0000-0000-000006000000}"/>
    <cellStyle name="20% - Accent2 3" xfId="11" xr:uid="{00000000-0005-0000-0000-000007000000}"/>
    <cellStyle name="20% - Accent3" xfId="12" xr:uid="{00000000-0005-0000-0000-000008000000}"/>
    <cellStyle name="20% - Accent3 2" xfId="13" xr:uid="{00000000-0005-0000-0000-000009000000}"/>
    <cellStyle name="20% - Accent3 2 2" xfId="14" xr:uid="{00000000-0005-0000-0000-00000A000000}"/>
    <cellStyle name="20% - Accent3 3" xfId="15" xr:uid="{00000000-0005-0000-0000-00000B000000}"/>
    <cellStyle name="20% - Accent4" xfId="16" xr:uid="{00000000-0005-0000-0000-00000C000000}"/>
    <cellStyle name="20% - Accent4 2" xfId="17" xr:uid="{00000000-0005-0000-0000-00000D000000}"/>
    <cellStyle name="20% - Accent4 2 2" xfId="18" xr:uid="{00000000-0005-0000-0000-00000E000000}"/>
    <cellStyle name="20% - Accent4 3" xfId="19" xr:uid="{00000000-0005-0000-0000-00000F000000}"/>
    <cellStyle name="20% - Accent5" xfId="20" xr:uid="{00000000-0005-0000-0000-000010000000}"/>
    <cellStyle name="20% - Accent5 2" xfId="21" xr:uid="{00000000-0005-0000-0000-000011000000}"/>
    <cellStyle name="20% - Accent5 3" xfId="22" xr:uid="{00000000-0005-0000-0000-000012000000}"/>
    <cellStyle name="20% - Accent6" xfId="23" xr:uid="{00000000-0005-0000-0000-000013000000}"/>
    <cellStyle name="20% - Accent6 2" xfId="24" xr:uid="{00000000-0005-0000-0000-000014000000}"/>
    <cellStyle name="20% - Accent6 3" xfId="25" xr:uid="{00000000-0005-0000-0000-000015000000}"/>
    <cellStyle name="20% - 輔色1 2" xfId="26" xr:uid="{00000000-0005-0000-0000-000016000000}"/>
    <cellStyle name="20% - 輔色1 2 2" xfId="27" xr:uid="{00000000-0005-0000-0000-000017000000}"/>
    <cellStyle name="20% - 輔色1 2 3" xfId="28" xr:uid="{00000000-0005-0000-0000-000018000000}"/>
    <cellStyle name="20% - 輔色1 3" xfId="29" xr:uid="{00000000-0005-0000-0000-000019000000}"/>
    <cellStyle name="20% - 輔色1 3 2" xfId="30" xr:uid="{00000000-0005-0000-0000-00001A000000}"/>
    <cellStyle name="20% - 輔色1 4" xfId="31" xr:uid="{00000000-0005-0000-0000-00001B000000}"/>
    <cellStyle name="20% - 輔色1 5" xfId="32" xr:uid="{00000000-0005-0000-0000-00001C000000}"/>
    <cellStyle name="20% - 輔色1 6" xfId="33" xr:uid="{00000000-0005-0000-0000-00001D000000}"/>
    <cellStyle name="20% - 輔色2 2" xfId="34" xr:uid="{00000000-0005-0000-0000-00001E000000}"/>
    <cellStyle name="20% - 輔色2 2 2" xfId="35" xr:uid="{00000000-0005-0000-0000-00001F000000}"/>
    <cellStyle name="20% - 輔色2 2 3" xfId="36" xr:uid="{00000000-0005-0000-0000-000020000000}"/>
    <cellStyle name="20% - 輔色2 3" xfId="37" xr:uid="{00000000-0005-0000-0000-000021000000}"/>
    <cellStyle name="20% - 輔色2 3 2" xfId="38" xr:uid="{00000000-0005-0000-0000-000022000000}"/>
    <cellStyle name="20% - 輔色2 4" xfId="39" xr:uid="{00000000-0005-0000-0000-000023000000}"/>
    <cellStyle name="20% - 輔色2 5" xfId="40" xr:uid="{00000000-0005-0000-0000-000024000000}"/>
    <cellStyle name="20% - 輔色2 6" xfId="41" xr:uid="{00000000-0005-0000-0000-000025000000}"/>
    <cellStyle name="20% - 輔色3 2" xfId="42" xr:uid="{00000000-0005-0000-0000-000026000000}"/>
    <cellStyle name="20% - 輔色3 2 2" xfId="43" xr:uid="{00000000-0005-0000-0000-000027000000}"/>
    <cellStyle name="20% - 輔色3 2 3" xfId="44" xr:uid="{00000000-0005-0000-0000-000028000000}"/>
    <cellStyle name="20% - 輔色3 3" xfId="45" xr:uid="{00000000-0005-0000-0000-000029000000}"/>
    <cellStyle name="20% - 輔色3 3 2" xfId="46" xr:uid="{00000000-0005-0000-0000-00002A000000}"/>
    <cellStyle name="20% - 輔色3 4" xfId="47" xr:uid="{00000000-0005-0000-0000-00002B000000}"/>
    <cellStyle name="20% - 輔色3 5" xfId="48" xr:uid="{00000000-0005-0000-0000-00002C000000}"/>
    <cellStyle name="20% - 輔色3 6" xfId="49" xr:uid="{00000000-0005-0000-0000-00002D000000}"/>
    <cellStyle name="20% - 輔色4 2" xfId="50" xr:uid="{00000000-0005-0000-0000-00002E000000}"/>
    <cellStyle name="20% - 輔色4 2 2" xfId="51" xr:uid="{00000000-0005-0000-0000-00002F000000}"/>
    <cellStyle name="20% - 輔色4 2 3" xfId="52" xr:uid="{00000000-0005-0000-0000-000030000000}"/>
    <cellStyle name="20% - 輔色4 3" xfId="53" xr:uid="{00000000-0005-0000-0000-000031000000}"/>
    <cellStyle name="20% - 輔色4 3 2" xfId="54" xr:uid="{00000000-0005-0000-0000-000032000000}"/>
    <cellStyle name="20% - 輔色4 4" xfId="55" xr:uid="{00000000-0005-0000-0000-000033000000}"/>
    <cellStyle name="20% - 輔色4 5" xfId="56" xr:uid="{00000000-0005-0000-0000-000034000000}"/>
    <cellStyle name="20% - 輔色4 6" xfId="57" xr:uid="{00000000-0005-0000-0000-000035000000}"/>
    <cellStyle name="20% - 輔色5 2" xfId="58" xr:uid="{00000000-0005-0000-0000-000036000000}"/>
    <cellStyle name="20% - 輔色5 2 2" xfId="59" xr:uid="{00000000-0005-0000-0000-000037000000}"/>
    <cellStyle name="20% - 輔色5 2 3" xfId="60" xr:uid="{00000000-0005-0000-0000-000038000000}"/>
    <cellStyle name="20% - 輔色5 3" xfId="61" xr:uid="{00000000-0005-0000-0000-000039000000}"/>
    <cellStyle name="20% - 輔色5 4" xfId="62" xr:uid="{00000000-0005-0000-0000-00003A000000}"/>
    <cellStyle name="20% - 輔色5 5" xfId="63" xr:uid="{00000000-0005-0000-0000-00003B000000}"/>
    <cellStyle name="20% - 輔色6 2" xfId="64" xr:uid="{00000000-0005-0000-0000-00003C000000}"/>
    <cellStyle name="20% - 輔色6 2 2" xfId="65" xr:uid="{00000000-0005-0000-0000-00003D000000}"/>
    <cellStyle name="20% - 輔色6 2 3" xfId="66" xr:uid="{00000000-0005-0000-0000-00003E000000}"/>
    <cellStyle name="20% - 輔色6 3" xfId="67" xr:uid="{00000000-0005-0000-0000-00003F000000}"/>
    <cellStyle name="20% - 輔色6 4" xfId="68" xr:uid="{00000000-0005-0000-0000-000040000000}"/>
    <cellStyle name="20% - 輔色6 5" xfId="69" xr:uid="{00000000-0005-0000-0000-000041000000}"/>
    <cellStyle name="40% - Accent1" xfId="70" xr:uid="{00000000-0005-0000-0000-000042000000}"/>
    <cellStyle name="40% - Accent1 2" xfId="71" xr:uid="{00000000-0005-0000-0000-000043000000}"/>
    <cellStyle name="40% - Accent1 2 2" xfId="72" xr:uid="{00000000-0005-0000-0000-000044000000}"/>
    <cellStyle name="40% - Accent1 3" xfId="73" xr:uid="{00000000-0005-0000-0000-000045000000}"/>
    <cellStyle name="40% - Accent2" xfId="74" xr:uid="{00000000-0005-0000-0000-000046000000}"/>
    <cellStyle name="40% - Accent2 2" xfId="75" xr:uid="{00000000-0005-0000-0000-000047000000}"/>
    <cellStyle name="40% - Accent2 3" xfId="76" xr:uid="{00000000-0005-0000-0000-000048000000}"/>
    <cellStyle name="40% - Accent3" xfId="77" xr:uid="{00000000-0005-0000-0000-000049000000}"/>
    <cellStyle name="40% - Accent3 2" xfId="78" xr:uid="{00000000-0005-0000-0000-00004A000000}"/>
    <cellStyle name="40% - Accent3 2 2" xfId="79" xr:uid="{00000000-0005-0000-0000-00004B000000}"/>
    <cellStyle name="40% - Accent3 3" xfId="80" xr:uid="{00000000-0005-0000-0000-00004C000000}"/>
    <cellStyle name="40% - Accent4" xfId="81" xr:uid="{00000000-0005-0000-0000-00004D000000}"/>
    <cellStyle name="40% - Accent4 2" xfId="82" xr:uid="{00000000-0005-0000-0000-00004E000000}"/>
    <cellStyle name="40% - Accent4 2 2" xfId="83" xr:uid="{00000000-0005-0000-0000-00004F000000}"/>
    <cellStyle name="40% - Accent4 3" xfId="84" xr:uid="{00000000-0005-0000-0000-000050000000}"/>
    <cellStyle name="40% - Accent5" xfId="85" xr:uid="{00000000-0005-0000-0000-000051000000}"/>
    <cellStyle name="40% - Accent5 2" xfId="86" xr:uid="{00000000-0005-0000-0000-000052000000}"/>
    <cellStyle name="40% - Accent5 3" xfId="87" xr:uid="{00000000-0005-0000-0000-000053000000}"/>
    <cellStyle name="40% - Accent6" xfId="88" xr:uid="{00000000-0005-0000-0000-000054000000}"/>
    <cellStyle name="40% - Accent6 2" xfId="89" xr:uid="{00000000-0005-0000-0000-000055000000}"/>
    <cellStyle name="40% - Accent6 2 2" xfId="90" xr:uid="{00000000-0005-0000-0000-000056000000}"/>
    <cellStyle name="40% - Accent6 3" xfId="91" xr:uid="{00000000-0005-0000-0000-000057000000}"/>
    <cellStyle name="40% - 輔色1 2" xfId="92" xr:uid="{00000000-0005-0000-0000-000058000000}"/>
    <cellStyle name="40% - 輔色1 2 2" xfId="93" xr:uid="{00000000-0005-0000-0000-000059000000}"/>
    <cellStyle name="40% - 輔色1 2 3" xfId="94" xr:uid="{00000000-0005-0000-0000-00005A000000}"/>
    <cellStyle name="40% - 輔色1 3" xfId="95" xr:uid="{00000000-0005-0000-0000-00005B000000}"/>
    <cellStyle name="40% - 輔色1 3 2" xfId="96" xr:uid="{00000000-0005-0000-0000-00005C000000}"/>
    <cellStyle name="40% - 輔色1 4" xfId="97" xr:uid="{00000000-0005-0000-0000-00005D000000}"/>
    <cellStyle name="40% - 輔色1 5" xfId="98" xr:uid="{00000000-0005-0000-0000-00005E000000}"/>
    <cellStyle name="40% - 輔色1 6" xfId="99" xr:uid="{00000000-0005-0000-0000-00005F000000}"/>
    <cellStyle name="40% - 輔色2 2" xfId="100" xr:uid="{00000000-0005-0000-0000-000060000000}"/>
    <cellStyle name="40% - 輔色2 2 2" xfId="101" xr:uid="{00000000-0005-0000-0000-000061000000}"/>
    <cellStyle name="40% - 輔色2 2 3" xfId="102" xr:uid="{00000000-0005-0000-0000-000062000000}"/>
    <cellStyle name="40% - 輔色2 3" xfId="103" xr:uid="{00000000-0005-0000-0000-000063000000}"/>
    <cellStyle name="40% - 輔色2 4" xfId="104" xr:uid="{00000000-0005-0000-0000-000064000000}"/>
    <cellStyle name="40% - 輔色2 5" xfId="105" xr:uid="{00000000-0005-0000-0000-000065000000}"/>
    <cellStyle name="40% - 輔色3 2" xfId="106" xr:uid="{00000000-0005-0000-0000-000066000000}"/>
    <cellStyle name="40% - 輔色3 2 2" xfId="107" xr:uid="{00000000-0005-0000-0000-000067000000}"/>
    <cellStyle name="40% - 輔色3 2 3" xfId="108" xr:uid="{00000000-0005-0000-0000-000068000000}"/>
    <cellStyle name="40% - 輔色3 3" xfId="109" xr:uid="{00000000-0005-0000-0000-000069000000}"/>
    <cellStyle name="40% - 輔色3 3 2" xfId="110" xr:uid="{00000000-0005-0000-0000-00006A000000}"/>
    <cellStyle name="40% - 輔色3 4" xfId="111" xr:uid="{00000000-0005-0000-0000-00006B000000}"/>
    <cellStyle name="40% - 輔色3 5" xfId="112" xr:uid="{00000000-0005-0000-0000-00006C000000}"/>
    <cellStyle name="40% - 輔色3 6" xfId="113" xr:uid="{00000000-0005-0000-0000-00006D000000}"/>
    <cellStyle name="40% - 輔色4 2" xfId="114" xr:uid="{00000000-0005-0000-0000-00006E000000}"/>
    <cellStyle name="40% - 輔色4 2 2" xfId="115" xr:uid="{00000000-0005-0000-0000-00006F000000}"/>
    <cellStyle name="40% - 輔色4 2 3" xfId="116" xr:uid="{00000000-0005-0000-0000-000070000000}"/>
    <cellStyle name="40% - 輔色4 3" xfId="117" xr:uid="{00000000-0005-0000-0000-000071000000}"/>
    <cellStyle name="40% - 輔色4 3 2" xfId="118" xr:uid="{00000000-0005-0000-0000-000072000000}"/>
    <cellStyle name="40% - 輔色4 4" xfId="119" xr:uid="{00000000-0005-0000-0000-000073000000}"/>
    <cellStyle name="40% - 輔色4 5" xfId="120" xr:uid="{00000000-0005-0000-0000-000074000000}"/>
    <cellStyle name="40% - 輔色4 6" xfId="121" xr:uid="{00000000-0005-0000-0000-000075000000}"/>
    <cellStyle name="40% - 輔色5 2" xfId="122" xr:uid="{00000000-0005-0000-0000-000076000000}"/>
    <cellStyle name="40% - 輔色5 2 2" xfId="123" xr:uid="{00000000-0005-0000-0000-000077000000}"/>
    <cellStyle name="40% - 輔色5 2 3" xfId="124" xr:uid="{00000000-0005-0000-0000-000078000000}"/>
    <cellStyle name="40% - 輔色5 3" xfId="125" xr:uid="{00000000-0005-0000-0000-000079000000}"/>
    <cellStyle name="40% - 輔色5 4" xfId="126" xr:uid="{00000000-0005-0000-0000-00007A000000}"/>
    <cellStyle name="40% - 輔色5 5" xfId="127" xr:uid="{00000000-0005-0000-0000-00007B000000}"/>
    <cellStyle name="40% - 輔色6 2" xfId="128" xr:uid="{00000000-0005-0000-0000-00007C000000}"/>
    <cellStyle name="40% - 輔色6 2 2" xfId="129" xr:uid="{00000000-0005-0000-0000-00007D000000}"/>
    <cellStyle name="40% - 輔色6 2 3" xfId="130" xr:uid="{00000000-0005-0000-0000-00007E000000}"/>
    <cellStyle name="40% - 輔色6 3" xfId="131" xr:uid="{00000000-0005-0000-0000-00007F000000}"/>
    <cellStyle name="40% - 輔色6 3 2" xfId="132" xr:uid="{00000000-0005-0000-0000-000080000000}"/>
    <cellStyle name="40% - 輔色6 4" xfId="133" xr:uid="{00000000-0005-0000-0000-000081000000}"/>
    <cellStyle name="40% - 輔色6 5" xfId="134" xr:uid="{00000000-0005-0000-0000-000082000000}"/>
    <cellStyle name="40% - 輔色6 6" xfId="135" xr:uid="{00000000-0005-0000-0000-000083000000}"/>
    <cellStyle name="60% - Accent1" xfId="136" xr:uid="{00000000-0005-0000-0000-000084000000}"/>
    <cellStyle name="60% - Accent1 2" xfId="137" xr:uid="{00000000-0005-0000-0000-000085000000}"/>
    <cellStyle name="60% - Accent2" xfId="138" xr:uid="{00000000-0005-0000-0000-000086000000}"/>
    <cellStyle name="60% - Accent3" xfId="139" xr:uid="{00000000-0005-0000-0000-000087000000}"/>
    <cellStyle name="60% - Accent3 2" xfId="140" xr:uid="{00000000-0005-0000-0000-000088000000}"/>
    <cellStyle name="60% - Accent4" xfId="141" xr:uid="{00000000-0005-0000-0000-000089000000}"/>
    <cellStyle name="60% - Accent4 2" xfId="142" xr:uid="{00000000-0005-0000-0000-00008A000000}"/>
    <cellStyle name="60% - Accent5" xfId="143" xr:uid="{00000000-0005-0000-0000-00008B000000}"/>
    <cellStyle name="60% - Accent6" xfId="144" xr:uid="{00000000-0005-0000-0000-00008C000000}"/>
    <cellStyle name="60% - Accent6 2" xfId="145" xr:uid="{00000000-0005-0000-0000-00008D000000}"/>
    <cellStyle name="60% - 輔色1 2" xfId="146" xr:uid="{00000000-0005-0000-0000-00008E000000}"/>
    <cellStyle name="60% - 輔色1 2 2" xfId="147" xr:uid="{00000000-0005-0000-0000-00008F000000}"/>
    <cellStyle name="60% - 輔色1 2 3" xfId="148" xr:uid="{00000000-0005-0000-0000-000090000000}"/>
    <cellStyle name="60% - 輔色1 3" xfId="149" xr:uid="{00000000-0005-0000-0000-000091000000}"/>
    <cellStyle name="60% - 輔色1 3 2" xfId="150" xr:uid="{00000000-0005-0000-0000-000092000000}"/>
    <cellStyle name="60% - 輔色1 4" xfId="151" xr:uid="{00000000-0005-0000-0000-000093000000}"/>
    <cellStyle name="60% - 輔色2 2" xfId="152" xr:uid="{00000000-0005-0000-0000-000094000000}"/>
    <cellStyle name="60% - 輔色2 3" xfId="153" xr:uid="{00000000-0005-0000-0000-000095000000}"/>
    <cellStyle name="60% - 輔色2 4" xfId="154" xr:uid="{00000000-0005-0000-0000-000096000000}"/>
    <cellStyle name="60% - 輔色3 2" xfId="155" xr:uid="{00000000-0005-0000-0000-000097000000}"/>
    <cellStyle name="60% - 輔色3 2 2" xfId="156" xr:uid="{00000000-0005-0000-0000-000098000000}"/>
    <cellStyle name="60% - 輔色3 2 3" xfId="157" xr:uid="{00000000-0005-0000-0000-000099000000}"/>
    <cellStyle name="60% - 輔色3 3" xfId="158" xr:uid="{00000000-0005-0000-0000-00009A000000}"/>
    <cellStyle name="60% - 輔色3 3 2" xfId="159" xr:uid="{00000000-0005-0000-0000-00009B000000}"/>
    <cellStyle name="60% - 輔色3 4" xfId="160" xr:uid="{00000000-0005-0000-0000-00009C000000}"/>
    <cellStyle name="60% - 輔色4 2" xfId="161" xr:uid="{00000000-0005-0000-0000-00009D000000}"/>
    <cellStyle name="60% - 輔色4 2 2" xfId="162" xr:uid="{00000000-0005-0000-0000-00009E000000}"/>
    <cellStyle name="60% - 輔色4 2 3" xfId="163" xr:uid="{00000000-0005-0000-0000-00009F000000}"/>
    <cellStyle name="60% - 輔色4 3" xfId="164" xr:uid="{00000000-0005-0000-0000-0000A0000000}"/>
    <cellStyle name="60% - 輔色4 3 2" xfId="165" xr:uid="{00000000-0005-0000-0000-0000A1000000}"/>
    <cellStyle name="60% - 輔色4 4" xfId="166" xr:uid="{00000000-0005-0000-0000-0000A2000000}"/>
    <cellStyle name="60% - 輔色5 2" xfId="167" xr:uid="{00000000-0005-0000-0000-0000A3000000}"/>
    <cellStyle name="60% - 輔色5 3" xfId="168" xr:uid="{00000000-0005-0000-0000-0000A4000000}"/>
    <cellStyle name="60% - 輔色5 4" xfId="169" xr:uid="{00000000-0005-0000-0000-0000A5000000}"/>
    <cellStyle name="60% - 輔色6 2" xfId="170" xr:uid="{00000000-0005-0000-0000-0000A6000000}"/>
    <cellStyle name="60% - 輔色6 2 2" xfId="171" xr:uid="{00000000-0005-0000-0000-0000A7000000}"/>
    <cellStyle name="60% - 輔色6 2 3" xfId="172" xr:uid="{00000000-0005-0000-0000-0000A8000000}"/>
    <cellStyle name="60% - 輔色6 3" xfId="173" xr:uid="{00000000-0005-0000-0000-0000A9000000}"/>
    <cellStyle name="60% - 輔色6 3 2" xfId="174" xr:uid="{00000000-0005-0000-0000-0000AA000000}"/>
    <cellStyle name="60% - 輔色6 4" xfId="175" xr:uid="{00000000-0005-0000-0000-0000AB000000}"/>
    <cellStyle name="Accent1" xfId="176" xr:uid="{00000000-0005-0000-0000-0000AC000000}"/>
    <cellStyle name="Accent1 2" xfId="177" xr:uid="{00000000-0005-0000-0000-0000AD000000}"/>
    <cellStyle name="Accent2" xfId="178" xr:uid="{00000000-0005-0000-0000-0000AE000000}"/>
    <cellStyle name="Accent3" xfId="179" xr:uid="{00000000-0005-0000-0000-0000AF000000}"/>
    <cellStyle name="Accent4" xfId="180" xr:uid="{00000000-0005-0000-0000-0000B0000000}"/>
    <cellStyle name="Accent4 2" xfId="181" xr:uid="{00000000-0005-0000-0000-0000B1000000}"/>
    <cellStyle name="Accent5" xfId="182" xr:uid="{00000000-0005-0000-0000-0000B2000000}"/>
    <cellStyle name="Accent6" xfId="183" xr:uid="{00000000-0005-0000-0000-0000B3000000}"/>
    <cellStyle name="Accent6 22" xfId="184" xr:uid="{00000000-0005-0000-0000-0000B4000000}"/>
    <cellStyle name="Bad" xfId="185" xr:uid="{00000000-0005-0000-0000-0000B5000000}"/>
    <cellStyle name="Calculation" xfId="186" xr:uid="{00000000-0005-0000-0000-0000B6000000}"/>
    <cellStyle name="Calculation 2" xfId="187" xr:uid="{00000000-0005-0000-0000-0000B7000000}"/>
    <cellStyle name="Check Cell" xfId="188" xr:uid="{00000000-0005-0000-0000-0000B8000000}"/>
    <cellStyle name="Excel Built-in Normal" xfId="189" xr:uid="{00000000-0005-0000-0000-0000B9000000}"/>
    <cellStyle name="Excel Built-in Normal 1" xfId="190" xr:uid="{00000000-0005-0000-0000-0000BA000000}"/>
    <cellStyle name="Excel_BuiltIn_中等" xfId="191" xr:uid="{00000000-0005-0000-0000-0000BB000000}"/>
    <cellStyle name="Explanatory Text" xfId="192" xr:uid="{00000000-0005-0000-0000-0000BC000000}"/>
    <cellStyle name="Good" xfId="193" xr:uid="{00000000-0005-0000-0000-0000BD000000}"/>
    <cellStyle name="Graphics" xfId="194" xr:uid="{00000000-0005-0000-0000-0000BE000000}"/>
    <cellStyle name="Heading 1" xfId="195" xr:uid="{00000000-0005-0000-0000-0000BF000000}"/>
    <cellStyle name="Heading 1 2" xfId="196" xr:uid="{00000000-0005-0000-0000-0000C0000000}"/>
    <cellStyle name="Heading 1 2 2" xfId="197" xr:uid="{00000000-0005-0000-0000-0000C1000000}"/>
    <cellStyle name="Heading 2" xfId="198" xr:uid="{00000000-0005-0000-0000-0000C2000000}"/>
    <cellStyle name="Heading 2 2" xfId="199" xr:uid="{00000000-0005-0000-0000-0000C3000000}"/>
    <cellStyle name="Heading 2 2 2" xfId="200" xr:uid="{00000000-0005-0000-0000-0000C4000000}"/>
    <cellStyle name="Heading 3" xfId="201" xr:uid="{00000000-0005-0000-0000-0000C5000000}"/>
    <cellStyle name="Heading 3 2" xfId="202" xr:uid="{00000000-0005-0000-0000-0000C6000000}"/>
    <cellStyle name="Heading 4" xfId="203" xr:uid="{00000000-0005-0000-0000-0000C7000000}"/>
    <cellStyle name="Heading 4 2" xfId="204" xr:uid="{00000000-0005-0000-0000-0000C8000000}"/>
    <cellStyle name="Input" xfId="205" xr:uid="{00000000-0005-0000-0000-0000C9000000}"/>
    <cellStyle name="Linked Cell" xfId="206" xr:uid="{00000000-0005-0000-0000-0000CA000000}"/>
    <cellStyle name="Neutral" xfId="207" xr:uid="{00000000-0005-0000-0000-0000CB000000}"/>
    <cellStyle name="Note" xfId="208" xr:uid="{00000000-0005-0000-0000-0000CC000000}"/>
    <cellStyle name="Note 2" xfId="209" xr:uid="{00000000-0005-0000-0000-0000CD000000}"/>
    <cellStyle name="Note 3" xfId="210" xr:uid="{00000000-0005-0000-0000-0000CE000000}"/>
    <cellStyle name="Note 4" xfId="211" xr:uid="{00000000-0005-0000-0000-0000CF000000}"/>
    <cellStyle name="Output" xfId="212" xr:uid="{00000000-0005-0000-0000-0000D0000000}"/>
    <cellStyle name="Output 2" xfId="213" xr:uid="{00000000-0005-0000-0000-0000D1000000}"/>
    <cellStyle name="Title" xfId="214" xr:uid="{00000000-0005-0000-0000-0000D2000000}"/>
    <cellStyle name="Title 2" xfId="215" xr:uid="{00000000-0005-0000-0000-0000D3000000}"/>
    <cellStyle name="Title 2 2" xfId="216" xr:uid="{00000000-0005-0000-0000-0000D4000000}"/>
    <cellStyle name="Total" xfId="217" xr:uid="{00000000-0005-0000-0000-0000D5000000}"/>
    <cellStyle name="Total 2" xfId="218" xr:uid="{00000000-0005-0000-0000-0000D6000000}"/>
    <cellStyle name="Warning Text" xfId="219" xr:uid="{00000000-0005-0000-0000-0000D7000000}"/>
    <cellStyle name="一般" xfId="0" builtinId="0"/>
    <cellStyle name="一般 2" xfId="220" xr:uid="{00000000-0005-0000-0000-0000D9000000}"/>
    <cellStyle name="一般 2 2" xfId="221" xr:uid="{00000000-0005-0000-0000-0000DA000000}"/>
    <cellStyle name="一般 24 2 2" xfId="222" xr:uid="{00000000-0005-0000-0000-0000DB000000}"/>
    <cellStyle name="一般 24 2 2 2" xfId="223" xr:uid="{00000000-0005-0000-0000-0000DC000000}"/>
    <cellStyle name="一般 24 2 2 2 2" xfId="224" xr:uid="{00000000-0005-0000-0000-0000DD000000}"/>
    <cellStyle name="一般 24 2 2 2 3" xfId="225" xr:uid="{00000000-0005-0000-0000-0000DE000000}"/>
    <cellStyle name="一般 24 2 2 3" xfId="226" xr:uid="{00000000-0005-0000-0000-0000DF000000}"/>
    <cellStyle name="一般 24 2 2 4" xfId="227" xr:uid="{00000000-0005-0000-0000-0000E0000000}"/>
    <cellStyle name="一般 3" xfId="228" xr:uid="{00000000-0005-0000-0000-0000E1000000}"/>
    <cellStyle name="一般 3 2" xfId="229" xr:uid="{00000000-0005-0000-0000-0000E2000000}"/>
    <cellStyle name="一般 3 2 2" xfId="230" xr:uid="{00000000-0005-0000-0000-0000E3000000}"/>
    <cellStyle name="一般 3 3" xfId="231" xr:uid="{00000000-0005-0000-0000-0000E4000000}"/>
    <cellStyle name="一般 4" xfId="232" xr:uid="{00000000-0005-0000-0000-0000E5000000}"/>
    <cellStyle name="一般 5" xfId="233" xr:uid="{00000000-0005-0000-0000-0000E6000000}"/>
    <cellStyle name="一般 6" xfId="234" xr:uid="{00000000-0005-0000-0000-0000E7000000}"/>
    <cellStyle name="一般 6 2" xfId="235" xr:uid="{00000000-0005-0000-0000-0000E8000000}"/>
    <cellStyle name="一般 6 2 2" xfId="236" xr:uid="{00000000-0005-0000-0000-0000E9000000}"/>
    <cellStyle name="一般 6 2 3" xfId="237" xr:uid="{00000000-0005-0000-0000-0000EA000000}"/>
    <cellStyle name="一般 6 3" xfId="238" xr:uid="{00000000-0005-0000-0000-0000EB000000}"/>
    <cellStyle name="一般 6 4" xfId="239" xr:uid="{00000000-0005-0000-0000-0000EC000000}"/>
    <cellStyle name="一般 7" xfId="240" xr:uid="{00000000-0005-0000-0000-0000ED000000}"/>
    <cellStyle name="一般 7 2" xfId="241" xr:uid="{00000000-0005-0000-0000-0000EE000000}"/>
    <cellStyle name="一般 7 3" xfId="242" xr:uid="{00000000-0005-0000-0000-0000EF000000}"/>
    <cellStyle name="一般 8" xfId="243" xr:uid="{00000000-0005-0000-0000-0000F0000000}"/>
    <cellStyle name="一般 9" xfId="244" xr:uid="{00000000-0005-0000-0000-0000F1000000}"/>
    <cellStyle name="千分位 2" xfId="245" xr:uid="{00000000-0005-0000-0000-0000F2000000}"/>
    <cellStyle name="千分位 2 2" xfId="246" xr:uid="{00000000-0005-0000-0000-0000F3000000}"/>
    <cellStyle name="千分位 3" xfId="247" xr:uid="{00000000-0005-0000-0000-0000F4000000}"/>
    <cellStyle name="千分位 4" xfId="248" xr:uid="{00000000-0005-0000-0000-0000F5000000}"/>
    <cellStyle name="千分位 5" xfId="249" xr:uid="{00000000-0005-0000-0000-0000F6000000}"/>
    <cellStyle name="中等 2" xfId="250" xr:uid="{00000000-0005-0000-0000-0000F7000000}"/>
    <cellStyle name="中等 3" xfId="251" xr:uid="{00000000-0005-0000-0000-0000F8000000}"/>
    <cellStyle name="中等 4" xfId="252" xr:uid="{00000000-0005-0000-0000-0000F9000000}"/>
    <cellStyle name="合計 2" xfId="253" xr:uid="{00000000-0005-0000-0000-0000FA000000}"/>
    <cellStyle name="合計 2 2" xfId="254" xr:uid="{00000000-0005-0000-0000-0000FB000000}"/>
    <cellStyle name="合計 2 3" xfId="255" xr:uid="{00000000-0005-0000-0000-0000FC000000}"/>
    <cellStyle name="合計 3" xfId="256" xr:uid="{00000000-0005-0000-0000-0000FD000000}"/>
    <cellStyle name="合計 3 2" xfId="257" xr:uid="{00000000-0005-0000-0000-0000FE000000}"/>
    <cellStyle name="合計 4" xfId="258" xr:uid="{00000000-0005-0000-0000-0000FF000000}"/>
    <cellStyle name="好 2" xfId="259" xr:uid="{00000000-0005-0000-0000-000000010000}"/>
    <cellStyle name="好 3" xfId="260" xr:uid="{00000000-0005-0000-0000-000001010000}"/>
    <cellStyle name="好 4" xfId="261" xr:uid="{00000000-0005-0000-0000-000002010000}"/>
    <cellStyle name="百分比" xfId="2" builtinId="5"/>
    <cellStyle name="百分比 2" xfId="262" xr:uid="{00000000-0005-0000-0000-000004010000}"/>
    <cellStyle name="百分比 3" xfId="263" xr:uid="{00000000-0005-0000-0000-000005010000}"/>
    <cellStyle name="計算方式 2" xfId="264" xr:uid="{00000000-0005-0000-0000-000006010000}"/>
    <cellStyle name="計算方式 2 2" xfId="265" xr:uid="{00000000-0005-0000-0000-000007010000}"/>
    <cellStyle name="計算方式 2 3" xfId="266" xr:uid="{00000000-0005-0000-0000-000008010000}"/>
    <cellStyle name="計算方式 3" xfId="267" xr:uid="{00000000-0005-0000-0000-000009010000}"/>
    <cellStyle name="計算方式 3 2" xfId="268" xr:uid="{00000000-0005-0000-0000-00000A010000}"/>
    <cellStyle name="計算方式 4" xfId="269" xr:uid="{00000000-0005-0000-0000-00000B010000}"/>
    <cellStyle name="貨幣" xfId="1" builtinId="4"/>
    <cellStyle name="貨幣 2" xfId="270" xr:uid="{00000000-0005-0000-0000-00000D010000}"/>
    <cellStyle name="貨幣 2 2" xfId="271" xr:uid="{00000000-0005-0000-0000-00000E010000}"/>
    <cellStyle name="貨幣 2 2 2" xfId="272" xr:uid="{00000000-0005-0000-0000-00000F010000}"/>
    <cellStyle name="貨幣 2 2 3" xfId="273" xr:uid="{00000000-0005-0000-0000-000010010000}"/>
    <cellStyle name="貨幣 2 3" xfId="274" xr:uid="{00000000-0005-0000-0000-000011010000}"/>
    <cellStyle name="貨幣 3" xfId="275" xr:uid="{00000000-0005-0000-0000-000012010000}"/>
    <cellStyle name="貨幣 3 2" xfId="276" xr:uid="{00000000-0005-0000-0000-000013010000}"/>
    <cellStyle name="貨幣 4" xfId="277" xr:uid="{00000000-0005-0000-0000-000014010000}"/>
    <cellStyle name="貨幣 4 2" xfId="278" xr:uid="{00000000-0005-0000-0000-000015010000}"/>
    <cellStyle name="貨幣 4 2 2" xfId="279" xr:uid="{00000000-0005-0000-0000-000016010000}"/>
    <cellStyle name="貨幣 4 2 3" xfId="280" xr:uid="{00000000-0005-0000-0000-000017010000}"/>
    <cellStyle name="貨幣 4 2 4" xfId="281" xr:uid="{00000000-0005-0000-0000-000018010000}"/>
    <cellStyle name="貨幣 4 3" xfId="282" xr:uid="{00000000-0005-0000-0000-000019010000}"/>
    <cellStyle name="貨幣 4 4" xfId="283" xr:uid="{00000000-0005-0000-0000-00001A010000}"/>
    <cellStyle name="貨幣 4 5" xfId="284" xr:uid="{00000000-0005-0000-0000-00001B010000}"/>
    <cellStyle name="貨幣 5" xfId="285" xr:uid="{00000000-0005-0000-0000-00001C010000}"/>
    <cellStyle name="貨幣 6" xfId="286" xr:uid="{00000000-0005-0000-0000-00001D010000}"/>
    <cellStyle name="連結的儲存格 2" xfId="287" xr:uid="{00000000-0005-0000-0000-00001E010000}"/>
    <cellStyle name="連結的儲存格 3" xfId="288" xr:uid="{00000000-0005-0000-0000-00001F010000}"/>
    <cellStyle name="連結的儲存格 4" xfId="289" xr:uid="{00000000-0005-0000-0000-000020010000}"/>
    <cellStyle name="連結的儲存格 5 7" xfId="290" xr:uid="{00000000-0005-0000-0000-000021010000}"/>
    <cellStyle name="連結的儲存格 5 7 2" xfId="291" xr:uid="{00000000-0005-0000-0000-000022010000}"/>
    <cellStyle name="備註 2" xfId="292" xr:uid="{00000000-0005-0000-0000-000023010000}"/>
    <cellStyle name="備註 3" xfId="293" xr:uid="{00000000-0005-0000-0000-000024010000}"/>
    <cellStyle name="備註 4" xfId="294" xr:uid="{00000000-0005-0000-0000-000025010000}"/>
    <cellStyle name="備註 5" xfId="295" xr:uid="{00000000-0005-0000-0000-000026010000}"/>
    <cellStyle name="備註 6" xfId="296" xr:uid="{00000000-0005-0000-0000-000027010000}"/>
    <cellStyle name="超連結" xfId="3" builtinId="8"/>
    <cellStyle name="超連結 2" xfId="297" xr:uid="{00000000-0005-0000-0000-000029010000}"/>
    <cellStyle name="超連結 2 2" xfId="298" xr:uid="{00000000-0005-0000-0000-00002A010000}"/>
    <cellStyle name="超連結 2 3" xfId="299" xr:uid="{00000000-0005-0000-0000-00002B010000}"/>
    <cellStyle name="超連結 3" xfId="300" xr:uid="{00000000-0005-0000-0000-00002C010000}"/>
    <cellStyle name="超連結 3 2" xfId="301" xr:uid="{00000000-0005-0000-0000-00002D010000}"/>
    <cellStyle name="超連結 3 3" xfId="302" xr:uid="{00000000-0005-0000-0000-00002E010000}"/>
    <cellStyle name="超連結 4" xfId="303" xr:uid="{00000000-0005-0000-0000-00002F010000}"/>
    <cellStyle name="說明文字 2" xfId="304" xr:uid="{00000000-0005-0000-0000-000030010000}"/>
    <cellStyle name="說明文字 3" xfId="305" xr:uid="{00000000-0005-0000-0000-000031010000}"/>
    <cellStyle name="說明文字 4" xfId="306" xr:uid="{00000000-0005-0000-0000-000032010000}"/>
    <cellStyle name="輔色1 2" xfId="307" xr:uid="{00000000-0005-0000-0000-000033010000}"/>
    <cellStyle name="輔色1 2 2" xfId="308" xr:uid="{00000000-0005-0000-0000-000034010000}"/>
    <cellStyle name="輔色1 2 3" xfId="309" xr:uid="{00000000-0005-0000-0000-000035010000}"/>
    <cellStyle name="輔色1 3" xfId="310" xr:uid="{00000000-0005-0000-0000-000036010000}"/>
    <cellStyle name="輔色1 3 2" xfId="311" xr:uid="{00000000-0005-0000-0000-000037010000}"/>
    <cellStyle name="輔色1 4" xfId="312" xr:uid="{00000000-0005-0000-0000-000038010000}"/>
    <cellStyle name="輔色2 2" xfId="313" xr:uid="{00000000-0005-0000-0000-000039010000}"/>
    <cellStyle name="輔色2 3" xfId="314" xr:uid="{00000000-0005-0000-0000-00003A010000}"/>
    <cellStyle name="輔色2 4" xfId="315" xr:uid="{00000000-0005-0000-0000-00003B010000}"/>
    <cellStyle name="輔色3 2" xfId="316" xr:uid="{00000000-0005-0000-0000-00003C010000}"/>
    <cellStyle name="輔色3 3" xfId="317" xr:uid="{00000000-0005-0000-0000-00003D010000}"/>
    <cellStyle name="輔色3 4" xfId="318" xr:uid="{00000000-0005-0000-0000-00003E010000}"/>
    <cellStyle name="輔色4 2" xfId="319" xr:uid="{00000000-0005-0000-0000-00003F010000}"/>
    <cellStyle name="輔色4 2 2" xfId="320" xr:uid="{00000000-0005-0000-0000-000040010000}"/>
    <cellStyle name="輔色4 2 3" xfId="321" xr:uid="{00000000-0005-0000-0000-000041010000}"/>
    <cellStyle name="輔色4 3" xfId="322" xr:uid="{00000000-0005-0000-0000-000042010000}"/>
    <cellStyle name="輔色4 3 2" xfId="323" xr:uid="{00000000-0005-0000-0000-000043010000}"/>
    <cellStyle name="輔色4 4" xfId="324" xr:uid="{00000000-0005-0000-0000-000044010000}"/>
    <cellStyle name="輔色5 2" xfId="325" xr:uid="{00000000-0005-0000-0000-000045010000}"/>
    <cellStyle name="輔色5 3" xfId="326" xr:uid="{00000000-0005-0000-0000-000046010000}"/>
    <cellStyle name="輔色5 4" xfId="327" xr:uid="{00000000-0005-0000-0000-000047010000}"/>
    <cellStyle name="輔色6 2" xfId="328" xr:uid="{00000000-0005-0000-0000-000048010000}"/>
    <cellStyle name="輔色6 3" xfId="329" xr:uid="{00000000-0005-0000-0000-000049010000}"/>
    <cellStyle name="輔色6 4" xfId="330" xr:uid="{00000000-0005-0000-0000-00004A010000}"/>
    <cellStyle name="標題 1 1" xfId="331" xr:uid="{00000000-0005-0000-0000-00004B010000}"/>
    <cellStyle name="標題 1 1 1" xfId="332" xr:uid="{00000000-0005-0000-0000-00004C010000}"/>
    <cellStyle name="標題 1 1 1 1" xfId="333" xr:uid="{00000000-0005-0000-0000-00004D010000}"/>
    <cellStyle name="標題 1 1 1 1 1" xfId="334" xr:uid="{00000000-0005-0000-0000-00004E010000}"/>
    <cellStyle name="標題 1 1 1 1 1 1" xfId="335" xr:uid="{00000000-0005-0000-0000-00004F010000}"/>
    <cellStyle name="標題 1 1 1 1 1 1 1" xfId="336" xr:uid="{00000000-0005-0000-0000-000050010000}"/>
    <cellStyle name="標題 1 1 1 1 1 1 2" xfId="337" xr:uid="{00000000-0005-0000-0000-000051010000}"/>
    <cellStyle name="標題 1 1 1 1 1 2" xfId="338" xr:uid="{00000000-0005-0000-0000-000052010000}"/>
    <cellStyle name="標題 1 1 1 1 1 3" xfId="339" xr:uid="{00000000-0005-0000-0000-000053010000}"/>
    <cellStyle name="標題 1 1 1 1 1 3 2" xfId="340" xr:uid="{00000000-0005-0000-0000-000054010000}"/>
    <cellStyle name="標題 1 1 1 1 1 4" xfId="341" xr:uid="{00000000-0005-0000-0000-000055010000}"/>
    <cellStyle name="標題 1 1 1 1 2" xfId="342" xr:uid="{00000000-0005-0000-0000-000056010000}"/>
    <cellStyle name="標題 1 1 1 1 2 2" xfId="343" xr:uid="{00000000-0005-0000-0000-000057010000}"/>
    <cellStyle name="標題 1 1 1 1 2 3" xfId="344" xr:uid="{00000000-0005-0000-0000-000058010000}"/>
    <cellStyle name="標題 1 1 1 1 3" xfId="345" xr:uid="{00000000-0005-0000-0000-000059010000}"/>
    <cellStyle name="標題 1 1 1 2" xfId="346" xr:uid="{00000000-0005-0000-0000-00005A010000}"/>
    <cellStyle name="標題 1 1 1 2 2" xfId="347" xr:uid="{00000000-0005-0000-0000-00005B010000}"/>
    <cellStyle name="標題 1 1 1 3" xfId="348" xr:uid="{00000000-0005-0000-0000-00005C010000}"/>
    <cellStyle name="標題 1 1 2" xfId="349" xr:uid="{00000000-0005-0000-0000-00005D010000}"/>
    <cellStyle name="標題 1 1 2 2" xfId="350" xr:uid="{00000000-0005-0000-0000-00005E010000}"/>
    <cellStyle name="標題 1 1 3" xfId="351" xr:uid="{00000000-0005-0000-0000-00005F010000}"/>
    <cellStyle name="標題 1 1 3 2" xfId="352" xr:uid="{00000000-0005-0000-0000-000060010000}"/>
    <cellStyle name="標題 1 1 4" xfId="353" xr:uid="{00000000-0005-0000-0000-000061010000}"/>
    <cellStyle name="標題 2 1" xfId="354" xr:uid="{00000000-0005-0000-0000-000062010000}"/>
    <cellStyle name="標題 2 1 1" xfId="355" xr:uid="{00000000-0005-0000-0000-000063010000}"/>
    <cellStyle name="標題 2 1 1 1" xfId="356" xr:uid="{00000000-0005-0000-0000-000064010000}"/>
    <cellStyle name="標題 2 1 1 1 1" xfId="357" xr:uid="{00000000-0005-0000-0000-000065010000}"/>
    <cellStyle name="標題 2 1 1 1 1 1" xfId="358" xr:uid="{00000000-0005-0000-0000-000066010000}"/>
    <cellStyle name="標題 2 1 1 1 1 1 1" xfId="359" xr:uid="{00000000-0005-0000-0000-000067010000}"/>
    <cellStyle name="標題 2 1 1 1 1 1 2" xfId="360" xr:uid="{00000000-0005-0000-0000-000068010000}"/>
    <cellStyle name="標題 2 1 1 1 1 2" xfId="361" xr:uid="{00000000-0005-0000-0000-000069010000}"/>
    <cellStyle name="標題 2 1 1 1 1 3" xfId="362" xr:uid="{00000000-0005-0000-0000-00006A010000}"/>
    <cellStyle name="標題 2 1 1 1 1 3 2" xfId="363" xr:uid="{00000000-0005-0000-0000-00006B010000}"/>
    <cellStyle name="標題 2 1 1 1 1 4" xfId="364" xr:uid="{00000000-0005-0000-0000-00006C010000}"/>
    <cellStyle name="標題 2 1 1 1 1 4 2" xfId="365" xr:uid="{00000000-0005-0000-0000-00006D010000}"/>
    <cellStyle name="標題 2 1 1 1 2" xfId="366" xr:uid="{00000000-0005-0000-0000-00006E010000}"/>
    <cellStyle name="標題 2 1 1 1 2 2" xfId="367" xr:uid="{00000000-0005-0000-0000-00006F010000}"/>
    <cellStyle name="標題 2 1 1 1 3" xfId="368" xr:uid="{00000000-0005-0000-0000-000070010000}"/>
    <cellStyle name="標題 2 1 1 1 4" xfId="369" xr:uid="{00000000-0005-0000-0000-000071010000}"/>
    <cellStyle name="標題 2 1 1 1 4 2" xfId="370" xr:uid="{00000000-0005-0000-0000-000072010000}"/>
    <cellStyle name="標題 2 1 1 1 5" xfId="371" xr:uid="{00000000-0005-0000-0000-000073010000}"/>
    <cellStyle name="標題 2 1 1 2" xfId="372" xr:uid="{00000000-0005-0000-0000-000074010000}"/>
    <cellStyle name="標題 2 1 1 2 2" xfId="373" xr:uid="{00000000-0005-0000-0000-000075010000}"/>
    <cellStyle name="標題 2 1 1 2 3" xfId="374" xr:uid="{00000000-0005-0000-0000-000076010000}"/>
    <cellStyle name="標題 2 1 1 3" xfId="375" xr:uid="{00000000-0005-0000-0000-000077010000}"/>
    <cellStyle name="標題 2 1 2" xfId="376" xr:uid="{00000000-0005-0000-0000-000078010000}"/>
    <cellStyle name="標題 2 1 2 2" xfId="377" xr:uid="{00000000-0005-0000-0000-000079010000}"/>
    <cellStyle name="標題 2 1 2 3" xfId="378" xr:uid="{00000000-0005-0000-0000-00007A010000}"/>
    <cellStyle name="標題 2 1 3" xfId="379" xr:uid="{00000000-0005-0000-0000-00007B010000}"/>
    <cellStyle name="標題 2 1 3 2" xfId="380" xr:uid="{00000000-0005-0000-0000-00007C010000}"/>
    <cellStyle name="標題 2 1 4" xfId="381" xr:uid="{00000000-0005-0000-0000-00007D010000}"/>
    <cellStyle name="標題 2 2" xfId="382" xr:uid="{00000000-0005-0000-0000-00007E010000}"/>
    <cellStyle name="標題 2 3" xfId="383" xr:uid="{00000000-0005-0000-0000-00007F010000}"/>
    <cellStyle name="標題 2 4" xfId="384" xr:uid="{00000000-0005-0000-0000-000080010000}"/>
    <cellStyle name="標題 3 2" xfId="385" xr:uid="{00000000-0005-0000-0000-000081010000}"/>
    <cellStyle name="標題 3 2 2" xfId="386" xr:uid="{00000000-0005-0000-0000-000082010000}"/>
    <cellStyle name="標題 3 2 3" xfId="387" xr:uid="{00000000-0005-0000-0000-000083010000}"/>
    <cellStyle name="標題 3 3" xfId="388" xr:uid="{00000000-0005-0000-0000-000084010000}"/>
    <cellStyle name="標題 3 3 2" xfId="389" xr:uid="{00000000-0005-0000-0000-000085010000}"/>
    <cellStyle name="標題 3 4" xfId="390" xr:uid="{00000000-0005-0000-0000-000086010000}"/>
    <cellStyle name="標題 4 2" xfId="391" xr:uid="{00000000-0005-0000-0000-000087010000}"/>
    <cellStyle name="標題 4 2 2" xfId="392" xr:uid="{00000000-0005-0000-0000-000088010000}"/>
    <cellStyle name="標題 4 2 3" xfId="393" xr:uid="{00000000-0005-0000-0000-000089010000}"/>
    <cellStyle name="標題 4 3" xfId="394" xr:uid="{00000000-0005-0000-0000-00008A010000}"/>
    <cellStyle name="標題 4 3 2" xfId="395" xr:uid="{00000000-0005-0000-0000-00008B010000}"/>
    <cellStyle name="標題 4 4" xfId="396" xr:uid="{00000000-0005-0000-0000-00008C010000}"/>
    <cellStyle name="輸入 2" xfId="397" xr:uid="{00000000-0005-0000-0000-00008D010000}"/>
    <cellStyle name="輸入 3" xfId="398" xr:uid="{00000000-0005-0000-0000-00008E010000}"/>
    <cellStyle name="輸入 4" xfId="399" xr:uid="{00000000-0005-0000-0000-00008F010000}"/>
    <cellStyle name="輸出 2" xfId="400" xr:uid="{00000000-0005-0000-0000-000090010000}"/>
    <cellStyle name="輸出 2 2" xfId="401" xr:uid="{00000000-0005-0000-0000-000091010000}"/>
    <cellStyle name="輸出 2 3" xfId="402" xr:uid="{00000000-0005-0000-0000-000092010000}"/>
    <cellStyle name="輸出 3" xfId="403" xr:uid="{00000000-0005-0000-0000-000093010000}"/>
    <cellStyle name="輸出 3 2" xfId="404" xr:uid="{00000000-0005-0000-0000-000094010000}"/>
    <cellStyle name="輸出 4" xfId="405" xr:uid="{00000000-0005-0000-0000-000095010000}"/>
    <cellStyle name="檢查儲存格 2" xfId="406" xr:uid="{00000000-0005-0000-0000-000096010000}"/>
    <cellStyle name="檢查儲存格 3" xfId="407" xr:uid="{00000000-0005-0000-0000-000097010000}"/>
    <cellStyle name="檢查儲存格 4" xfId="408" xr:uid="{00000000-0005-0000-0000-000098010000}"/>
    <cellStyle name="壞 2" xfId="409" xr:uid="{00000000-0005-0000-0000-000099010000}"/>
    <cellStyle name="壞 3" xfId="410" xr:uid="{00000000-0005-0000-0000-00009A010000}"/>
    <cellStyle name="壞 4" xfId="411" xr:uid="{00000000-0005-0000-0000-00009B010000}"/>
    <cellStyle name="警告文字 2" xfId="412" xr:uid="{00000000-0005-0000-0000-00009C010000}"/>
    <cellStyle name="警告文字 3" xfId="413" xr:uid="{00000000-0005-0000-0000-00009D010000}"/>
    <cellStyle name="警告文字 4" xfId="414" xr:uid="{00000000-0005-0000-0000-00009E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0</xdr:row>
      <xdr:rowOff>19051</xdr:rowOff>
    </xdr:from>
    <xdr:to>
      <xdr:col>3</xdr:col>
      <xdr:colOff>257175</xdr:colOff>
      <xdr:row>1</xdr:row>
      <xdr:rowOff>849435</xdr:rowOff>
    </xdr:to>
    <xdr:pic>
      <xdr:nvPicPr>
        <xdr:cNvPr id="1071" name="Graphics 1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7965" y="19050"/>
          <a:ext cx="1219835" cy="1058545"/>
        </a:xfrm>
        <a:prstGeom prst="rect">
          <a:avLst/>
        </a:prstGeom>
        <a:noFill/>
        <a:ln w="9525">
          <a:noFill/>
          <a:round/>
        </a:ln>
      </xdr:spPr>
    </xdr:pic>
    <xdr:clientData/>
  </xdr:twoCellAnchor>
  <xdr:twoCellAnchor editAs="oneCell">
    <xdr:from>
      <xdr:col>3</xdr:col>
      <xdr:colOff>77932</xdr:colOff>
      <xdr:row>46</xdr:row>
      <xdr:rowOff>8659</xdr:rowOff>
    </xdr:from>
    <xdr:to>
      <xdr:col>11</xdr:col>
      <xdr:colOff>516397</xdr:colOff>
      <xdr:row>46</xdr:row>
      <xdr:rowOff>950768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095" y="10546715"/>
          <a:ext cx="6229985" cy="94234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304800</xdr:colOff>
      <xdr:row>7</xdr:row>
      <xdr:rowOff>123825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>
        <a:xfrm>
          <a:off x="9677400" y="20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304800</xdr:colOff>
      <xdr:row>7</xdr:row>
      <xdr:rowOff>123825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>
        <a:xfrm>
          <a:off x="9677400" y="20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304800</xdr:colOff>
      <xdr:row>7</xdr:row>
      <xdr:rowOff>123825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>
        <a:xfrm>
          <a:off x="9677400" y="20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138301</xdr:colOff>
      <xdr:row>40</xdr:row>
      <xdr:rowOff>188290</xdr:rowOff>
    </xdr:from>
    <xdr:to>
      <xdr:col>12</xdr:col>
      <xdr:colOff>1038225</xdr:colOff>
      <xdr:row>43</xdr:row>
      <xdr:rowOff>447674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5920" y="8964295"/>
          <a:ext cx="900430" cy="916305"/>
        </a:xfrm>
        <a:prstGeom prst="rect">
          <a:avLst/>
        </a:prstGeom>
      </xdr:spPr>
    </xdr:pic>
    <xdr:clientData/>
  </xdr:twoCellAnchor>
  <xdr:twoCellAnchor editAs="oneCell">
    <xdr:from>
      <xdr:col>13</xdr:col>
      <xdr:colOff>644525</xdr:colOff>
      <xdr:row>3</xdr:row>
      <xdr:rowOff>35564</xdr:rowOff>
    </xdr:from>
    <xdr:to>
      <xdr:col>22</xdr:col>
      <xdr:colOff>231775</xdr:colOff>
      <xdr:row>49</xdr:row>
      <xdr:rowOff>79375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5175" y="1502414"/>
          <a:ext cx="8054975" cy="113595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38100</xdr:rowOff>
    </xdr:from>
    <xdr:ext cx="957262" cy="910318"/>
    <xdr:pic>
      <xdr:nvPicPr>
        <xdr:cNvPr id="2" name="Picture 50" descr="clip_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38100"/>
          <a:ext cx="956945" cy="909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Z201"/>
  <sheetViews>
    <sheetView tabSelected="1" view="pageBreakPreview" zoomScale="175" zoomScaleNormal="70" zoomScaleSheetLayoutView="175" workbookViewId="0">
      <selection activeCell="L46" sqref="L46"/>
    </sheetView>
  </sheetViews>
  <sheetFormatPr defaultColWidth="10" defaultRowHeight="10"/>
  <cols>
    <col min="1" max="1" width="5.59765625" style="75" customWidth="1"/>
    <col min="2" max="2" width="8.8984375" style="75" customWidth="1"/>
    <col min="3" max="3" width="3.3984375" style="75" customWidth="1"/>
    <col min="4" max="4" width="5.69921875" style="75" customWidth="1"/>
    <col min="5" max="5" width="17.59765625" style="75" customWidth="1"/>
    <col min="6" max="6" width="11.3984375" style="75" customWidth="1"/>
    <col min="7" max="7" width="5.8984375" style="75" customWidth="1"/>
    <col min="8" max="8" width="12.3984375" style="75" customWidth="1"/>
    <col min="9" max="9" width="13.3984375" style="76" customWidth="1"/>
    <col min="10" max="10" width="7.69921875" style="75" customWidth="1"/>
    <col min="11" max="11" width="12.69921875" style="75" customWidth="1"/>
    <col min="12" max="12" width="13.09765625" style="75" customWidth="1"/>
    <col min="13" max="13" width="17.296875" style="75" customWidth="1"/>
    <col min="14" max="14" width="10" style="75"/>
    <col min="15" max="15" width="47" style="75" customWidth="1"/>
    <col min="16" max="16384" width="10" style="75"/>
  </cols>
  <sheetData>
    <row r="1" spans="1:234" ht="18" customHeight="1">
      <c r="E1" s="77" t="s">
        <v>0</v>
      </c>
      <c r="F1" s="78"/>
      <c r="G1" s="78"/>
      <c r="H1" s="72"/>
      <c r="I1" s="75"/>
      <c r="J1" s="197" t="s">
        <v>1</v>
      </c>
      <c r="K1" s="197"/>
      <c r="L1" s="197"/>
      <c r="M1" s="197"/>
      <c r="HN1" s="72"/>
      <c r="HO1" s="72"/>
      <c r="HP1" s="72"/>
      <c r="HQ1" s="72"/>
      <c r="HR1" s="72"/>
      <c r="HS1" s="72"/>
      <c r="HT1" s="72"/>
      <c r="HU1" s="72"/>
      <c r="HV1" s="72"/>
      <c r="HW1" s="72"/>
      <c r="HX1" s="72"/>
      <c r="HY1" s="72"/>
      <c r="HZ1" s="72"/>
    </row>
    <row r="2" spans="1:234" ht="83.15" customHeight="1">
      <c r="A2" s="72"/>
      <c r="E2" s="194" t="s">
        <v>2</v>
      </c>
      <c r="F2" s="194"/>
      <c r="G2" s="194"/>
      <c r="H2" s="194"/>
      <c r="I2" s="194"/>
      <c r="J2" s="197"/>
      <c r="K2" s="197"/>
      <c r="L2" s="197"/>
      <c r="M2" s="197"/>
      <c r="O2" s="133"/>
      <c r="HN2" s="72"/>
      <c r="HO2" s="72"/>
      <c r="HP2" s="72"/>
      <c r="HQ2" s="72"/>
      <c r="HR2" s="72"/>
      <c r="HS2" s="72"/>
      <c r="HT2" s="72"/>
      <c r="HU2" s="72"/>
      <c r="HV2" s="72"/>
      <c r="HW2" s="72"/>
      <c r="HX2" s="72"/>
      <c r="HY2" s="72"/>
      <c r="HZ2" s="72"/>
    </row>
    <row r="3" spans="1:234" s="68" customFormat="1" ht="14.5">
      <c r="A3" s="195" t="s">
        <v>3</v>
      </c>
      <c r="B3" s="195"/>
      <c r="C3" s="80"/>
      <c r="D3" s="81"/>
      <c r="E3" s="81"/>
      <c r="F3" s="81"/>
      <c r="K3" s="89" t="s">
        <v>4</v>
      </c>
      <c r="L3" s="189"/>
      <c r="M3" s="189"/>
      <c r="O3" s="96"/>
    </row>
    <row r="4" spans="1:234" s="68" customFormat="1" ht="20">
      <c r="A4" s="195" t="s">
        <v>5</v>
      </c>
      <c r="B4" s="195"/>
      <c r="C4" s="82"/>
      <c r="D4" s="83"/>
      <c r="E4" s="83"/>
      <c r="F4" s="83"/>
      <c r="G4" s="74"/>
      <c r="H4" s="84"/>
      <c r="I4" s="134"/>
      <c r="J4" s="74"/>
      <c r="K4" s="135" t="s">
        <v>6</v>
      </c>
      <c r="L4" s="196"/>
      <c r="M4" s="196"/>
    </row>
    <row r="5" spans="1:234" s="68" customFormat="1" ht="14">
      <c r="A5" s="79" t="s">
        <v>7</v>
      </c>
      <c r="B5" s="79"/>
      <c r="C5" s="80"/>
      <c r="F5" s="81"/>
      <c r="I5" s="137"/>
      <c r="J5" s="74"/>
      <c r="K5" s="135" t="s">
        <v>8</v>
      </c>
      <c r="L5" s="136"/>
      <c r="M5" s="136"/>
    </row>
    <row r="6" spans="1:234" s="68" customFormat="1" ht="13.9" customHeight="1">
      <c r="A6" s="79" t="s">
        <v>9</v>
      </c>
      <c r="B6" s="79"/>
      <c r="C6" s="85"/>
      <c r="D6" s="79"/>
      <c r="E6" s="79"/>
      <c r="F6" s="81"/>
      <c r="K6" s="89" t="s">
        <v>10</v>
      </c>
      <c r="L6" s="189"/>
      <c r="M6" s="189"/>
    </row>
    <row r="7" spans="1:234" s="68" customFormat="1" ht="14.25" customHeight="1">
      <c r="A7" s="68" t="s">
        <v>11</v>
      </c>
      <c r="C7" s="184"/>
      <c r="D7" s="86"/>
      <c r="E7" s="86"/>
      <c r="F7" s="86"/>
      <c r="G7" s="86"/>
      <c r="H7" s="86"/>
      <c r="I7" s="86"/>
      <c r="K7" s="89" t="s">
        <v>12</v>
      </c>
      <c r="L7" s="190"/>
      <c r="M7" s="190"/>
      <c r="O7"/>
    </row>
    <row r="8" spans="1:234" s="68" customFormat="1" ht="28.5" customHeight="1">
      <c r="A8" s="68" t="s">
        <v>13</v>
      </c>
      <c r="C8" s="185"/>
      <c r="E8" s="87"/>
      <c r="F8" s="87"/>
      <c r="G8" s="87"/>
      <c r="H8" s="88"/>
      <c r="I8" s="138"/>
      <c r="K8" s="68" t="s">
        <v>14</v>
      </c>
      <c r="L8" s="191"/>
      <c r="M8" s="191"/>
    </row>
    <row r="9" spans="1:234" s="68" customFormat="1" ht="26.25" customHeight="1">
      <c r="K9" s="68" t="s">
        <v>15</v>
      </c>
      <c r="L9" s="186"/>
    </row>
    <row r="10" spans="1:234" s="68" customFormat="1" ht="14">
      <c r="K10" s="68" t="s">
        <v>16</v>
      </c>
      <c r="L10" s="192"/>
      <c r="M10" s="192"/>
    </row>
    <row r="11" spans="1:234" s="68" customFormat="1" ht="18">
      <c r="A11" s="89"/>
      <c r="B11" s="89"/>
      <c r="E11" s="87"/>
      <c r="F11" s="87"/>
      <c r="G11" s="87"/>
      <c r="H11" s="88"/>
      <c r="I11" s="138"/>
      <c r="K11" s="68" t="s">
        <v>17</v>
      </c>
    </row>
    <row r="12" spans="1:234" ht="15" customHeight="1">
      <c r="A12" s="90"/>
      <c r="B12" s="90"/>
      <c r="C12" s="90"/>
      <c r="E12" s="90"/>
      <c r="F12" s="90"/>
      <c r="G12" s="90"/>
      <c r="H12" s="90"/>
      <c r="I12" s="139"/>
    </row>
    <row r="13" spans="1:234" ht="54" customHeight="1">
      <c r="A13" s="193" t="s">
        <v>105</v>
      </c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</row>
    <row r="14" spans="1:234" s="69" customFormat="1" ht="31.5" customHeight="1">
      <c r="A14" s="91" t="s">
        <v>18</v>
      </c>
      <c r="B14" s="92"/>
      <c r="C14" s="92"/>
      <c r="D14" s="92" t="s">
        <v>19</v>
      </c>
      <c r="E14" s="92"/>
      <c r="F14" s="92"/>
      <c r="G14" s="92"/>
      <c r="H14" s="93" t="s">
        <v>20</v>
      </c>
      <c r="I14" s="140" t="s">
        <v>21</v>
      </c>
      <c r="J14" s="141" t="s">
        <v>22</v>
      </c>
      <c r="K14" s="141" t="s">
        <v>23</v>
      </c>
      <c r="L14" s="142" t="s">
        <v>106</v>
      </c>
      <c r="M14" s="143" t="s">
        <v>24</v>
      </c>
    </row>
    <row r="15" spans="1:234" s="70" customFormat="1" ht="15" customHeight="1">
      <c r="A15" s="94"/>
      <c r="B15" s="95"/>
      <c r="C15" s="96"/>
      <c r="D15" s="96"/>
      <c r="E15" s="97"/>
      <c r="F15" s="97"/>
      <c r="G15" s="97"/>
      <c r="H15" s="98"/>
      <c r="I15" s="144"/>
      <c r="J15" s="145"/>
      <c r="K15" s="145"/>
      <c r="L15" s="146"/>
      <c r="M15" s="147"/>
    </row>
    <row r="16" spans="1:234" s="70" customFormat="1" ht="15" customHeight="1">
      <c r="A16" s="94"/>
      <c r="B16" s="188"/>
      <c r="C16" s="96"/>
      <c r="D16" s="96"/>
      <c r="E16" s="97"/>
      <c r="F16" s="97"/>
      <c r="G16" s="97"/>
      <c r="H16" s="98"/>
      <c r="I16" s="144"/>
      <c r="J16" s="145"/>
      <c r="K16" s="145"/>
      <c r="L16" s="146"/>
      <c r="M16" s="148"/>
    </row>
    <row r="17" spans="1:14" s="68" customFormat="1" ht="15" customHeight="1">
      <c r="A17" s="99"/>
      <c r="B17" s="97"/>
      <c r="C17" s="97"/>
      <c r="D17" s="100"/>
      <c r="E17" s="100"/>
      <c r="F17" s="100"/>
      <c r="G17" s="100"/>
      <c r="H17" s="101"/>
      <c r="I17" s="149"/>
      <c r="J17" s="150"/>
      <c r="K17" s="150"/>
      <c r="L17" s="151"/>
      <c r="M17" s="152"/>
    </row>
    <row r="18" spans="1:14" s="71" customFormat="1" ht="15" customHeight="1">
      <c r="A18" s="102"/>
      <c r="B18" s="103"/>
      <c r="C18" s="104"/>
      <c r="D18" s="105"/>
      <c r="E18" s="106"/>
      <c r="F18" s="106"/>
      <c r="G18" s="106"/>
      <c r="H18" s="107"/>
      <c r="I18" s="153"/>
      <c r="J18" s="154"/>
      <c r="K18" s="154"/>
      <c r="L18" s="155"/>
      <c r="M18" s="156"/>
      <c r="N18" s="157"/>
    </row>
    <row r="19" spans="1:14" s="68" customFormat="1" ht="15" customHeight="1">
      <c r="A19" s="99"/>
      <c r="B19" s="108"/>
      <c r="C19" s="108"/>
      <c r="D19" s="108"/>
      <c r="E19" s="100"/>
      <c r="F19" s="100"/>
      <c r="G19" s="100"/>
      <c r="H19" s="101"/>
      <c r="I19" s="149"/>
      <c r="J19" s="150"/>
      <c r="K19" s="154"/>
      <c r="L19" s="155"/>
      <c r="M19" s="156"/>
    </row>
    <row r="20" spans="1:14" s="68" customFormat="1" ht="15" customHeight="1">
      <c r="A20" s="109"/>
      <c r="B20" s="103"/>
      <c r="C20" s="108"/>
      <c r="D20" s="108"/>
      <c r="E20" s="100"/>
      <c r="F20" s="100"/>
      <c r="G20" s="100"/>
      <c r="H20" s="101"/>
      <c r="I20" s="149"/>
      <c r="J20" s="150"/>
      <c r="K20" s="154"/>
      <c r="L20" s="155"/>
      <c r="M20" s="156"/>
    </row>
    <row r="21" spans="1:14" s="68" customFormat="1" ht="15" customHeight="1">
      <c r="A21" s="99"/>
      <c r="B21" s="108"/>
      <c r="C21" s="108"/>
      <c r="D21" s="108"/>
      <c r="E21" s="100"/>
      <c r="F21" s="100"/>
      <c r="G21" s="100"/>
      <c r="H21" s="101"/>
      <c r="I21" s="149"/>
      <c r="J21" s="150"/>
      <c r="K21" s="150"/>
      <c r="L21" s="151"/>
      <c r="M21" s="158"/>
    </row>
    <row r="22" spans="1:14" s="68" customFormat="1" ht="15" customHeight="1">
      <c r="A22" s="99"/>
      <c r="B22" s="108"/>
      <c r="C22" s="108"/>
      <c r="D22" s="108"/>
      <c r="E22" s="100"/>
      <c r="F22" s="100"/>
      <c r="G22" s="100"/>
      <c r="H22" s="101"/>
      <c r="I22" s="149"/>
      <c r="J22" s="150"/>
      <c r="K22" s="150"/>
      <c r="L22" s="151"/>
      <c r="M22" s="158"/>
    </row>
    <row r="23" spans="1:14" s="68" customFormat="1" ht="15" customHeight="1">
      <c r="A23" s="99"/>
      <c r="B23" s="108"/>
      <c r="C23" s="108"/>
      <c r="D23" s="108"/>
      <c r="E23" s="100"/>
      <c r="F23" s="100"/>
      <c r="G23" s="100"/>
      <c r="H23" s="101"/>
      <c r="I23" s="149"/>
      <c r="J23" s="150"/>
      <c r="K23" s="150"/>
      <c r="L23" s="151"/>
      <c r="M23" s="158"/>
    </row>
    <row r="24" spans="1:14" s="68" customFormat="1" ht="15" customHeight="1">
      <c r="A24" s="99"/>
      <c r="B24" s="108"/>
      <c r="C24" s="108"/>
      <c r="D24" s="108"/>
      <c r="E24" s="100"/>
      <c r="F24" s="100"/>
      <c r="G24" s="100"/>
      <c r="H24" s="101"/>
      <c r="I24" s="149"/>
      <c r="J24" s="150"/>
      <c r="K24" s="150"/>
      <c r="L24" s="151"/>
      <c r="M24" s="158"/>
    </row>
    <row r="25" spans="1:14" s="68" customFormat="1" ht="15" customHeight="1">
      <c r="A25" s="99"/>
      <c r="B25" s="108"/>
      <c r="C25" s="108"/>
      <c r="D25" s="108"/>
      <c r="E25" s="100"/>
      <c r="F25" s="100"/>
      <c r="G25" s="100"/>
      <c r="H25" s="101"/>
      <c r="I25" s="149"/>
      <c r="J25" s="150"/>
      <c r="K25" s="150"/>
      <c r="L25" s="151"/>
      <c r="M25" s="158"/>
    </row>
    <row r="26" spans="1:14" s="68" customFormat="1" ht="15" customHeight="1">
      <c r="A26" s="99"/>
      <c r="B26" s="108"/>
      <c r="C26" s="108"/>
      <c r="D26" s="108"/>
      <c r="E26" s="100"/>
      <c r="F26" s="100"/>
      <c r="G26" s="100"/>
      <c r="H26" s="101"/>
      <c r="I26" s="149"/>
      <c r="J26" s="150"/>
      <c r="K26" s="150"/>
      <c r="L26" s="151"/>
      <c r="M26" s="158"/>
    </row>
    <row r="27" spans="1:14" s="68" customFormat="1" ht="15" customHeight="1">
      <c r="A27" s="99"/>
      <c r="B27" s="108"/>
      <c r="C27" s="108"/>
      <c r="D27" s="108"/>
      <c r="E27" s="100"/>
      <c r="F27" s="100"/>
      <c r="G27" s="100"/>
      <c r="H27" s="101"/>
      <c r="I27" s="149"/>
      <c r="J27" s="150"/>
      <c r="K27" s="150"/>
      <c r="L27" s="151"/>
      <c r="M27" s="158"/>
    </row>
    <row r="28" spans="1:14" s="68" customFormat="1" ht="15" customHeight="1">
      <c r="A28" s="109"/>
      <c r="B28" s="108"/>
      <c r="C28" s="108"/>
      <c r="D28" s="108"/>
      <c r="E28" s="100"/>
      <c r="F28" s="100"/>
      <c r="G28" s="100"/>
      <c r="H28" s="101"/>
      <c r="I28" s="149"/>
      <c r="J28" s="150"/>
      <c r="K28" s="150"/>
      <c r="L28" s="151"/>
      <c r="M28" s="158"/>
    </row>
    <row r="29" spans="1:14" s="68" customFormat="1" ht="15" customHeight="1">
      <c r="A29" s="109"/>
      <c r="B29" s="108"/>
      <c r="C29" s="108"/>
      <c r="D29" s="108"/>
      <c r="E29" s="100"/>
      <c r="F29" s="100"/>
      <c r="G29" s="100"/>
      <c r="H29" s="101"/>
      <c r="I29" s="149"/>
      <c r="J29" s="150"/>
      <c r="K29" s="150"/>
      <c r="L29" s="151"/>
      <c r="M29" s="158"/>
    </row>
    <row r="30" spans="1:14" s="72" customFormat="1" ht="14.5">
      <c r="A30" s="110"/>
      <c r="B30" s="111"/>
      <c r="C30" s="112"/>
      <c r="D30" s="113"/>
      <c r="E30" s="113"/>
      <c r="F30" s="113"/>
      <c r="G30" s="113"/>
      <c r="H30" s="114"/>
      <c r="I30" s="159"/>
      <c r="J30" s="160"/>
      <c r="K30" s="160"/>
      <c r="L30" s="161"/>
      <c r="M30" s="162"/>
    </row>
    <row r="31" spans="1:14" s="73" customFormat="1" ht="21" customHeight="1">
      <c r="A31" s="115"/>
      <c r="B31" s="115"/>
      <c r="C31" s="116"/>
      <c r="D31" s="68"/>
      <c r="E31" s="117"/>
      <c r="F31" s="117"/>
      <c r="G31" s="117"/>
      <c r="H31" s="117"/>
      <c r="I31" s="163"/>
      <c r="J31" s="68"/>
      <c r="K31" s="164"/>
      <c r="L31" s="165" t="s">
        <v>25</v>
      </c>
      <c r="M31" s="166">
        <f>SUM(M15:M30)</f>
        <v>0</v>
      </c>
    </row>
    <row r="32" spans="1:14" s="73" customFormat="1" ht="16" customHeight="1">
      <c r="A32" s="115"/>
      <c r="B32" s="115"/>
      <c r="C32" s="116"/>
      <c r="D32" s="68"/>
      <c r="E32" s="117"/>
      <c r="F32" s="117"/>
      <c r="G32" s="117"/>
      <c r="H32" s="117"/>
      <c r="I32" s="163"/>
      <c r="J32" s="68"/>
      <c r="K32" s="164"/>
      <c r="L32" s="165"/>
      <c r="M32" s="167"/>
    </row>
    <row r="33" spans="1:13" s="73" customFormat="1" ht="16" customHeight="1">
      <c r="A33" s="115"/>
      <c r="B33" s="115"/>
      <c r="C33" s="116"/>
      <c r="D33" s="68"/>
      <c r="E33" s="117"/>
      <c r="F33" s="117"/>
      <c r="G33" s="117"/>
      <c r="H33" s="117"/>
      <c r="I33" s="163"/>
      <c r="J33" s="68"/>
      <c r="K33" s="164"/>
      <c r="L33" s="165"/>
      <c r="M33" s="167"/>
    </row>
    <row r="34" spans="1:13" s="73" customFormat="1" ht="15" customHeight="1">
      <c r="A34" s="118" t="s">
        <v>26</v>
      </c>
      <c r="B34" s="118"/>
      <c r="C34" s="68"/>
      <c r="D34" s="68"/>
      <c r="E34" s="68"/>
      <c r="F34" s="68"/>
      <c r="G34" s="68"/>
      <c r="H34" s="68"/>
      <c r="I34" s="168"/>
      <c r="J34" s="169"/>
      <c r="K34" s="169"/>
      <c r="L34" s="169"/>
      <c r="M34" s="170"/>
    </row>
    <row r="35" spans="1:13" ht="15" customHeight="1">
      <c r="A35" s="119" t="s">
        <v>27</v>
      </c>
      <c r="B35" s="119"/>
      <c r="C35" s="119"/>
      <c r="D35" s="119"/>
      <c r="E35" s="120"/>
      <c r="F35" s="119"/>
      <c r="G35" s="119"/>
      <c r="H35" s="68"/>
      <c r="I35" s="168"/>
      <c r="J35" s="169"/>
      <c r="K35" s="169"/>
      <c r="L35" s="169"/>
      <c r="M35" s="169"/>
    </row>
    <row r="36" spans="1:13" s="68" customFormat="1" ht="15" customHeight="1">
      <c r="A36" s="119" t="s">
        <v>28</v>
      </c>
      <c r="B36" s="119"/>
      <c r="C36" s="119"/>
      <c r="D36" s="119"/>
      <c r="E36" s="119"/>
      <c r="F36" s="119"/>
      <c r="G36" s="119"/>
      <c r="I36" s="168"/>
      <c r="J36" s="169"/>
      <c r="K36" s="169"/>
      <c r="L36" s="169"/>
      <c r="M36" s="169"/>
    </row>
    <row r="37" spans="1:13" s="74" customFormat="1" ht="15" customHeight="1">
      <c r="A37" s="119" t="s">
        <v>29</v>
      </c>
      <c r="B37" s="119"/>
      <c r="C37" s="119"/>
      <c r="D37" s="119"/>
      <c r="E37" s="119"/>
      <c r="F37" s="119"/>
      <c r="G37" s="119"/>
      <c r="H37" s="68"/>
      <c r="I37" s="168"/>
      <c r="J37" s="169"/>
      <c r="K37" s="169"/>
      <c r="L37" s="169"/>
      <c r="M37" s="169"/>
    </row>
    <row r="38" spans="1:13" s="74" customFormat="1" ht="15" customHeight="1">
      <c r="A38" s="119" t="s">
        <v>30</v>
      </c>
      <c r="B38" s="119"/>
      <c r="C38" s="119"/>
      <c r="D38" s="187"/>
      <c r="E38" s="119"/>
      <c r="F38" s="119"/>
      <c r="G38" s="119"/>
      <c r="H38" s="68"/>
      <c r="I38" s="168"/>
      <c r="J38" s="169"/>
      <c r="K38" s="169"/>
      <c r="L38" s="169"/>
      <c r="M38" s="169"/>
    </row>
    <row r="39" spans="1:13" s="74" customFormat="1" ht="16" customHeight="1">
      <c r="A39" s="119"/>
      <c r="B39" s="119"/>
      <c r="C39" s="119"/>
      <c r="D39" s="119"/>
      <c r="E39" s="119"/>
      <c r="F39" s="119"/>
      <c r="G39" s="119"/>
      <c r="H39" s="68"/>
      <c r="I39" s="168"/>
      <c r="J39" s="169"/>
      <c r="K39" s="169"/>
      <c r="L39" s="169"/>
      <c r="M39" s="169"/>
    </row>
    <row r="40" spans="1:13" s="74" customFormat="1" ht="16" customHeight="1">
      <c r="A40" s="119"/>
      <c r="B40" s="119"/>
      <c r="C40" s="119"/>
      <c r="D40" s="119"/>
      <c r="E40" s="119"/>
      <c r="F40" s="119"/>
      <c r="G40" s="119"/>
      <c r="H40" s="68"/>
      <c r="I40" s="168"/>
      <c r="J40" s="169"/>
      <c r="K40" s="169"/>
      <c r="L40" s="169"/>
      <c r="M40" s="169"/>
    </row>
    <row r="41" spans="1:13" s="74" customFormat="1" ht="17.25" customHeight="1">
      <c r="A41" s="121" t="s">
        <v>31</v>
      </c>
      <c r="B41" s="121"/>
      <c r="C41" s="122"/>
      <c r="D41" s="122"/>
      <c r="E41" s="121"/>
      <c r="F41" s="123"/>
      <c r="G41" s="123"/>
      <c r="H41" s="72"/>
      <c r="I41" s="72"/>
      <c r="K41" s="171" t="s">
        <v>32</v>
      </c>
      <c r="L41" s="171"/>
      <c r="M41" s="172"/>
    </row>
    <row r="42" spans="1:13" s="74" customFormat="1" ht="17.25" customHeight="1">
      <c r="A42" s="124"/>
      <c r="B42" s="124"/>
      <c r="C42" s="125"/>
      <c r="D42" s="125"/>
      <c r="E42" s="124"/>
      <c r="F42" s="124"/>
      <c r="G42" s="124"/>
      <c r="H42" s="73"/>
      <c r="I42" s="73"/>
      <c r="K42" s="173" t="s">
        <v>33</v>
      </c>
      <c r="L42" s="174"/>
      <c r="M42" s="175"/>
    </row>
    <row r="43" spans="1:13" s="74" customFormat="1" ht="17.25" customHeight="1">
      <c r="A43" s="124"/>
      <c r="B43" s="124"/>
      <c r="C43" s="125"/>
      <c r="D43" s="125"/>
      <c r="E43" s="124"/>
      <c r="F43" s="124"/>
      <c r="G43" s="124"/>
      <c r="H43" s="73"/>
      <c r="I43" s="73"/>
      <c r="K43" s="176" t="s">
        <v>34</v>
      </c>
      <c r="L43" s="73"/>
      <c r="M43" s="175"/>
    </row>
    <row r="44" spans="1:13" s="74" customFormat="1" ht="52.5" customHeight="1">
      <c r="A44" s="126"/>
      <c r="B44" s="126"/>
      <c r="C44" s="127"/>
      <c r="D44" s="127"/>
      <c r="E44" s="127"/>
      <c r="F44" s="128"/>
      <c r="G44" s="128"/>
      <c r="H44" s="75"/>
      <c r="I44" s="76"/>
      <c r="J44" s="177"/>
      <c r="K44" s="178"/>
      <c r="L44" s="179"/>
      <c r="M44" s="180"/>
    </row>
    <row r="45" spans="1:13" s="74" customFormat="1" ht="17.25" customHeight="1">
      <c r="A45" s="79" t="s">
        <v>35</v>
      </c>
      <c r="B45" s="79"/>
      <c r="C45" s="79"/>
      <c r="D45" s="79"/>
      <c r="E45" s="79"/>
      <c r="F45" s="79"/>
      <c r="G45" s="79"/>
      <c r="H45" s="68"/>
      <c r="I45" s="68"/>
      <c r="K45" s="79" t="s">
        <v>36</v>
      </c>
      <c r="L45" s="181"/>
      <c r="M45" s="79"/>
    </row>
    <row r="46" spans="1:13" s="74" customFormat="1" ht="17.25" customHeight="1">
      <c r="A46" s="129" t="s">
        <v>37</v>
      </c>
      <c r="B46" s="129"/>
      <c r="C46" s="130"/>
      <c r="D46" s="129"/>
      <c r="E46" s="129"/>
      <c r="F46" s="129"/>
      <c r="G46" s="129"/>
      <c r="K46" s="129" t="s">
        <v>38</v>
      </c>
      <c r="L46" s="182"/>
      <c r="M46" s="183"/>
    </row>
    <row r="47" spans="1:13" s="74" customFormat="1" ht="81.650000000000006" customHeight="1">
      <c r="A47" s="131" t="s">
        <v>39</v>
      </c>
      <c r="B47" s="129"/>
      <c r="C47" s="132"/>
      <c r="D47" s="129"/>
      <c r="E47" s="129"/>
      <c r="F47" s="129"/>
      <c r="G47" s="129"/>
    </row>
    <row r="48" spans="1:13">
      <c r="I48" s="75"/>
      <c r="J48" s="76"/>
      <c r="K48" s="76"/>
      <c r="L48" s="76"/>
      <c r="M48" s="76"/>
    </row>
    <row r="49" spans="9:13">
      <c r="I49" s="75"/>
      <c r="J49" s="76"/>
      <c r="K49" s="76"/>
      <c r="L49" s="76"/>
      <c r="M49" s="76"/>
    </row>
    <row r="201" ht="11.25" customHeight="1"/>
  </sheetData>
  <mergeCells count="11">
    <mergeCell ref="E2:I2"/>
    <mergeCell ref="A3:B3"/>
    <mergeCell ref="L3:M3"/>
    <mergeCell ref="A4:B4"/>
    <mergeCell ref="L4:M4"/>
    <mergeCell ref="J1:M2"/>
    <mergeCell ref="L6:M6"/>
    <mergeCell ref="L7:M7"/>
    <mergeCell ref="L8:M8"/>
    <mergeCell ref="L10:M10"/>
    <mergeCell ref="A13:M13"/>
  </mergeCells>
  <phoneticPr fontId="98" type="noConversion"/>
  <printOptions horizontalCentered="1"/>
  <pageMargins left="0.39370078740157499" right="0.39370078740157499" top="0.196850393700787" bottom="0.196850393700787" header="0.27559055118110198" footer="0.27559055118110198"/>
  <pageSetup paperSize="9" scale="75" firstPageNumber="0" orientation="portrait" useFirstPageNumber="1" r:id="rId1"/>
  <headerFooter alignWithMargins="0"/>
  <rowBreaks count="1" manualBreakCount="1">
    <brk id="4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51"/>
  <sheetViews>
    <sheetView workbookViewId="0">
      <selection activeCell="C24" sqref="C24"/>
    </sheetView>
  </sheetViews>
  <sheetFormatPr defaultColWidth="12.8984375" defaultRowHeight="15.5"/>
  <cols>
    <col min="1" max="1" width="23.59765625" style="3" customWidth="1"/>
    <col min="2" max="2" width="18.59765625" style="3" customWidth="1"/>
    <col min="3" max="3" width="22.8984375" style="3" customWidth="1"/>
    <col min="4" max="5" width="20.59765625" style="3" customWidth="1"/>
    <col min="6" max="6" width="10.8984375" style="3" customWidth="1"/>
    <col min="7" max="7" width="11.3984375" style="3" customWidth="1"/>
    <col min="8" max="8" width="19.3984375" style="3" customWidth="1"/>
    <col min="9" max="9" width="9.69921875" style="3" customWidth="1"/>
    <col min="10" max="10" width="14.3984375" style="3" customWidth="1"/>
    <col min="11" max="11" width="17" style="3" customWidth="1"/>
    <col min="12" max="12" width="19.296875" style="4" customWidth="1"/>
    <col min="13" max="13" width="24.69921875" style="4" customWidth="1"/>
    <col min="14" max="14" width="26.59765625" style="4" customWidth="1"/>
    <col min="15" max="16384" width="12.8984375" style="3"/>
  </cols>
  <sheetData>
    <row r="1" spans="1:14" ht="25" customHeight="1">
      <c r="A1" s="5"/>
      <c r="B1" s="5"/>
      <c r="C1" s="53" t="s">
        <v>40</v>
      </c>
      <c r="D1" s="53"/>
      <c r="E1" s="53"/>
      <c r="G1" s="6"/>
      <c r="H1" s="6"/>
      <c r="J1" s="6"/>
      <c r="K1" s="6"/>
      <c r="L1" s="6"/>
      <c r="M1" s="6"/>
      <c r="N1" s="6"/>
    </row>
    <row r="2" spans="1:14" ht="27" customHeight="1">
      <c r="A2" s="5"/>
      <c r="B2" s="5"/>
      <c r="C2" s="54" t="s">
        <v>41</v>
      </c>
      <c r="D2" s="54"/>
      <c r="E2" s="54"/>
      <c r="G2" s="1"/>
      <c r="H2" s="1"/>
      <c r="I2" s="1"/>
      <c r="J2" s="1"/>
      <c r="K2" s="1"/>
      <c r="L2" s="1"/>
      <c r="M2" s="1"/>
      <c r="N2" s="6"/>
    </row>
    <row r="3" spans="1:14" ht="27" customHeight="1">
      <c r="A3" s="7"/>
      <c r="B3" s="7"/>
      <c r="C3" s="55" t="s">
        <v>42</v>
      </c>
      <c r="D3" s="55"/>
      <c r="E3" s="55"/>
      <c r="F3" s="8"/>
      <c r="G3" s="8"/>
      <c r="H3" s="8"/>
      <c r="I3" s="8"/>
      <c r="J3" s="8"/>
      <c r="K3" s="8"/>
      <c r="L3" s="8"/>
      <c r="M3" s="8"/>
      <c r="N3" s="61"/>
    </row>
    <row r="4" spans="1:14" ht="9" customHeight="1">
      <c r="A4" s="5"/>
      <c r="B4" s="5"/>
      <c r="C4" s="5"/>
      <c r="D4" s="5"/>
      <c r="E4" s="5"/>
      <c r="F4" s="5"/>
      <c r="G4" s="5"/>
      <c r="H4" s="9"/>
      <c r="I4" s="9"/>
      <c r="J4" s="9"/>
      <c r="K4" s="9"/>
      <c r="L4" s="9"/>
      <c r="M4" s="9"/>
      <c r="N4" s="6"/>
    </row>
    <row r="5" spans="1:14" ht="27" customHeight="1">
      <c r="A5" s="210" t="s">
        <v>43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</row>
    <row r="6" spans="1:14" ht="11.15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</row>
    <row r="7" spans="1:14" s="1" customFormat="1" ht="27" customHeight="1">
      <c r="A7" s="18" t="s">
        <v>44</v>
      </c>
      <c r="B7" s="211">
        <f>Quotation!M6</f>
        <v>0</v>
      </c>
      <c r="C7" s="212"/>
      <c r="D7" s="212"/>
      <c r="E7" s="14"/>
      <c r="H7" s="18" t="s">
        <v>45</v>
      </c>
      <c r="I7" s="211">
        <f>Quotation!M3</f>
        <v>0</v>
      </c>
      <c r="J7" s="211"/>
      <c r="K7" s="206" t="s">
        <v>46</v>
      </c>
      <c r="L7" s="206"/>
      <c r="M7" s="13">
        <f>Quotation!M4</f>
        <v>0</v>
      </c>
      <c r="N7" s="45"/>
    </row>
    <row r="8" spans="1:14" s="1" customFormat="1" ht="27" customHeight="1">
      <c r="A8" s="18" t="s">
        <v>47</v>
      </c>
      <c r="B8" s="212">
        <f>Quotation!C4</f>
        <v>0</v>
      </c>
      <c r="C8" s="212"/>
      <c r="D8" s="212"/>
      <c r="E8" s="211"/>
      <c r="F8" s="212"/>
      <c r="G8" s="212"/>
      <c r="H8" s="18" t="s">
        <v>48</v>
      </c>
      <c r="I8" s="213" t="e">
        <f>Quotation!#REF!</f>
        <v>#REF!</v>
      </c>
      <c r="J8" s="213"/>
      <c r="K8" s="206" t="s">
        <v>49</v>
      </c>
      <c r="L8" s="206"/>
      <c r="M8" s="62"/>
      <c r="N8" s="45"/>
    </row>
    <row r="9" spans="1:14" s="1" customFormat="1" ht="27" customHeight="1">
      <c r="A9" s="18" t="s">
        <v>50</v>
      </c>
      <c r="B9" s="204" t="e">
        <f>Quotation!#REF!</f>
        <v>#REF!</v>
      </c>
      <c r="C9" s="204"/>
      <c r="D9" s="204"/>
      <c r="E9" s="14"/>
      <c r="H9" s="18" t="s">
        <v>51</v>
      </c>
      <c r="I9" s="205"/>
      <c r="J9" s="205"/>
      <c r="K9" s="206" t="s">
        <v>52</v>
      </c>
      <c r="L9" s="206"/>
      <c r="M9" s="63"/>
      <c r="N9" s="45"/>
    </row>
    <row r="10" spans="1:14" s="1" customFormat="1" ht="27" customHeight="1">
      <c r="L10" s="45"/>
      <c r="M10" s="64"/>
      <c r="N10" s="45"/>
    </row>
    <row r="11" spans="1:14" s="1" customFormat="1" ht="13.5" customHeight="1">
      <c r="L11" s="45"/>
      <c r="M11" s="45"/>
      <c r="N11" s="45"/>
    </row>
    <row r="12" spans="1:14" s="1" customFormat="1" ht="15" customHeight="1">
      <c r="A12" s="198" t="s">
        <v>53</v>
      </c>
      <c r="B12" s="198" t="s">
        <v>54</v>
      </c>
      <c r="C12" s="207" t="s">
        <v>55</v>
      </c>
      <c r="D12" s="208"/>
      <c r="E12" s="209"/>
      <c r="F12" s="207" t="s">
        <v>56</v>
      </c>
      <c r="G12" s="208"/>
      <c r="H12" s="209"/>
      <c r="I12" s="207" t="s">
        <v>57</v>
      </c>
      <c r="J12" s="208"/>
      <c r="K12" s="209"/>
      <c r="L12" s="200" t="s">
        <v>58</v>
      </c>
      <c r="M12" s="202" t="s">
        <v>59</v>
      </c>
      <c r="N12" s="202" t="s">
        <v>60</v>
      </c>
    </row>
    <row r="13" spans="1:14" s="1" customFormat="1">
      <c r="A13" s="199"/>
      <c r="B13" s="199"/>
      <c r="C13" s="47" t="s">
        <v>61</v>
      </c>
      <c r="D13" s="47" t="s">
        <v>62</v>
      </c>
      <c r="E13" s="57" t="s">
        <v>19</v>
      </c>
      <c r="F13" s="24" t="s">
        <v>63</v>
      </c>
      <c r="G13" s="24" t="s">
        <v>64</v>
      </c>
      <c r="H13" s="24" t="s">
        <v>65</v>
      </c>
      <c r="I13" s="24" t="s">
        <v>63</v>
      </c>
      <c r="J13" s="24" t="s">
        <v>64</v>
      </c>
      <c r="K13" s="24" t="s">
        <v>65</v>
      </c>
      <c r="L13" s="201"/>
      <c r="M13" s="203"/>
      <c r="N13" s="203"/>
    </row>
    <row r="14" spans="1:14" s="1" customFormat="1" ht="21" customHeight="1">
      <c r="A14" s="24"/>
      <c r="B14" s="24"/>
      <c r="C14" s="24" t="e">
        <f>Quotation!#REF!</f>
        <v>#REF!</v>
      </c>
      <c r="D14" s="24" t="e">
        <f>Quotation!#REF!</f>
        <v>#REF!</v>
      </c>
      <c r="E14" s="24" t="e">
        <f>Quotation!#REF!</f>
        <v>#REF!</v>
      </c>
      <c r="F14" s="24" t="e">
        <f>Quotation!#REF!</f>
        <v>#REF!</v>
      </c>
      <c r="G14" s="25"/>
      <c r="H14" s="26" t="e">
        <f>Quotation!#REF!</f>
        <v>#REF!</v>
      </c>
      <c r="I14" s="26"/>
      <c r="J14" s="26"/>
      <c r="K14" s="26"/>
      <c r="L14" s="27"/>
      <c r="M14" s="27"/>
      <c r="N14" s="27"/>
    </row>
    <row r="15" spans="1:14" s="1" customFormat="1" ht="21" customHeight="1">
      <c r="A15" s="24"/>
      <c r="B15" s="24"/>
      <c r="C15" s="24" t="e">
        <f>Quotation!#REF!</f>
        <v>#REF!</v>
      </c>
      <c r="D15" s="24" t="e">
        <f>Quotation!#REF!</f>
        <v>#REF!</v>
      </c>
      <c r="E15" s="24" t="e">
        <f>Quotation!#REF!</f>
        <v>#REF!</v>
      </c>
      <c r="F15" s="24" t="e">
        <f>Quotation!#REF!</f>
        <v>#REF!</v>
      </c>
      <c r="G15" s="25"/>
      <c r="H15" s="26" t="e">
        <f>Quotation!#REF!</f>
        <v>#REF!</v>
      </c>
      <c r="I15" s="26"/>
      <c r="J15" s="26"/>
      <c r="K15" s="26"/>
      <c r="L15" s="27"/>
      <c r="M15" s="27"/>
      <c r="N15" s="27"/>
    </row>
    <row r="16" spans="1:14" s="2" customFormat="1" ht="21" customHeight="1">
      <c r="A16" s="58"/>
      <c r="B16" s="58"/>
      <c r="C16" s="24" t="e">
        <f>Quotation!#REF!</f>
        <v>#REF!</v>
      </c>
      <c r="D16" s="24" t="e">
        <f>Quotation!#REF!</f>
        <v>#REF!</v>
      </c>
      <c r="E16" s="24" t="e">
        <f>Quotation!#REF!</f>
        <v>#REF!</v>
      </c>
      <c r="F16" s="24" t="e">
        <f>Quotation!#REF!</f>
        <v>#REF!</v>
      </c>
      <c r="G16" s="25"/>
      <c r="H16" s="26" t="e">
        <f>Quotation!#REF!</f>
        <v>#REF!</v>
      </c>
      <c r="I16" s="26"/>
      <c r="J16" s="26"/>
      <c r="K16" s="26"/>
      <c r="L16" s="27"/>
      <c r="M16" s="49"/>
      <c r="N16" s="49"/>
    </row>
    <row r="17" spans="1:14" s="1" customFormat="1" ht="21" customHeight="1">
      <c r="A17" s="24"/>
      <c r="B17" s="24"/>
      <c r="C17" s="24" t="e">
        <f>Quotation!#REF!</f>
        <v>#REF!</v>
      </c>
      <c r="D17" s="24" t="e">
        <f>Quotation!#REF!</f>
        <v>#REF!</v>
      </c>
      <c r="E17" s="24" t="e">
        <f>Quotation!#REF!</f>
        <v>#REF!</v>
      </c>
      <c r="F17" s="24" t="e">
        <f>Quotation!#REF!</f>
        <v>#REF!</v>
      </c>
      <c r="G17" s="25"/>
      <c r="H17" s="26" t="e">
        <f>Quotation!#REF!</f>
        <v>#REF!</v>
      </c>
      <c r="I17" s="26"/>
      <c r="J17" s="26"/>
      <c r="K17" s="26"/>
      <c r="L17" s="27"/>
      <c r="M17" s="27"/>
      <c r="N17" s="27"/>
    </row>
    <row r="18" spans="1:14" s="1" customFormat="1" ht="21" customHeight="1">
      <c r="A18" s="30"/>
      <c r="B18" s="30"/>
      <c r="C18" s="27"/>
      <c r="D18" s="27"/>
      <c r="E18" s="27"/>
      <c r="F18" s="24"/>
      <c r="G18" s="25"/>
      <c r="H18" s="26"/>
      <c r="I18" s="30"/>
      <c r="J18" s="30"/>
      <c r="K18" s="30"/>
      <c r="L18" s="27"/>
      <c r="M18" s="27"/>
      <c r="N18" s="27"/>
    </row>
    <row r="19" spans="1:14" s="1" customFormat="1" ht="21" customHeight="1">
      <c r="A19" s="24"/>
      <c r="B19" s="24"/>
      <c r="C19" s="27"/>
      <c r="D19" s="27"/>
      <c r="E19" s="27"/>
      <c r="F19" s="24"/>
      <c r="G19" s="25"/>
      <c r="H19" s="26"/>
      <c r="I19" s="26"/>
      <c r="J19" s="26"/>
      <c r="K19" s="26"/>
      <c r="L19" s="27"/>
      <c r="M19" s="27"/>
      <c r="N19" s="27"/>
    </row>
    <row r="20" spans="1:14" s="1" customFormat="1" ht="21" customHeight="1">
      <c r="A20" s="24"/>
      <c r="B20" s="24"/>
      <c r="C20" s="27"/>
      <c r="D20" s="27"/>
      <c r="E20" s="27"/>
      <c r="F20" s="24"/>
      <c r="G20" s="25"/>
      <c r="H20" s="26"/>
      <c r="I20" s="26"/>
      <c r="J20" s="26"/>
      <c r="K20" s="26"/>
      <c r="L20" s="27"/>
      <c r="M20" s="27"/>
      <c r="N20" s="27"/>
    </row>
    <row r="21" spans="1:14" s="1" customFormat="1" ht="21" customHeight="1">
      <c r="A21" s="24"/>
      <c r="B21" s="24"/>
      <c r="C21" s="27"/>
      <c r="D21" s="27"/>
      <c r="E21" s="27"/>
      <c r="F21" s="24"/>
      <c r="G21" s="25"/>
      <c r="H21" s="26"/>
      <c r="I21" s="26"/>
      <c r="J21" s="26"/>
      <c r="K21" s="26"/>
      <c r="L21" s="27"/>
      <c r="M21" s="27"/>
      <c r="N21" s="27"/>
    </row>
    <row r="22" spans="1:14" s="1" customFormat="1" ht="21" customHeight="1">
      <c r="A22" s="24"/>
      <c r="B22" s="24"/>
      <c r="C22" s="27"/>
      <c r="D22" s="27"/>
      <c r="E22" s="27"/>
      <c r="F22" s="24"/>
      <c r="G22" s="25"/>
      <c r="H22" s="26"/>
      <c r="I22" s="26"/>
      <c r="J22" s="26"/>
      <c r="K22" s="26"/>
      <c r="L22" s="27"/>
      <c r="M22" s="27"/>
      <c r="N22" s="27"/>
    </row>
    <row r="23" spans="1:14" s="1" customFormat="1" ht="21" customHeight="1">
      <c r="A23" s="24"/>
      <c r="B23" s="24"/>
      <c r="C23" s="27"/>
      <c r="D23" s="27"/>
      <c r="E23" s="27"/>
      <c r="F23" s="24"/>
      <c r="G23" s="25"/>
      <c r="H23" s="26"/>
      <c r="I23" s="26"/>
      <c r="J23" s="26"/>
      <c r="K23" s="26"/>
      <c r="L23" s="27"/>
      <c r="M23" s="27"/>
      <c r="N23" s="24"/>
    </row>
    <row r="24" spans="1:14" s="1" customFormat="1" ht="21" customHeight="1">
      <c r="A24" s="24"/>
      <c r="B24" s="24"/>
      <c r="C24" s="27"/>
      <c r="D24" s="27"/>
      <c r="E24" s="27"/>
      <c r="F24" s="24"/>
      <c r="G24" s="25"/>
      <c r="H24" s="26"/>
      <c r="I24" s="26"/>
      <c r="J24" s="26"/>
      <c r="K24" s="26"/>
      <c r="L24" s="27"/>
      <c r="M24" s="27"/>
      <c r="N24" s="27"/>
    </row>
    <row r="25" spans="1:14" s="1" customFormat="1" ht="21" customHeight="1">
      <c r="A25" s="24"/>
      <c r="B25" s="24"/>
      <c r="C25" s="27"/>
      <c r="D25" s="27"/>
      <c r="E25" s="27"/>
      <c r="F25" s="24"/>
      <c r="G25" s="25"/>
      <c r="H25" s="26"/>
      <c r="I25" s="26"/>
      <c r="J25" s="26"/>
      <c r="K25" s="26"/>
      <c r="L25" s="27"/>
      <c r="M25" s="27"/>
      <c r="N25" s="27"/>
    </row>
    <row r="26" spans="1:14" s="1" customFormat="1" ht="21" customHeight="1">
      <c r="A26" s="24"/>
      <c r="B26" s="24"/>
      <c r="C26" s="30"/>
      <c r="D26" s="30"/>
      <c r="E26" s="30"/>
      <c r="F26" s="24"/>
      <c r="G26" s="25"/>
      <c r="H26" s="26"/>
      <c r="I26" s="26"/>
      <c r="J26" s="26"/>
      <c r="K26" s="26"/>
      <c r="L26" s="27"/>
      <c r="M26" s="27"/>
      <c r="N26" s="27"/>
    </row>
    <row r="27" spans="1:14" s="1" customFormat="1" ht="21" customHeight="1">
      <c r="A27" s="24"/>
      <c r="B27" s="24"/>
      <c r="C27" s="30"/>
      <c r="D27" s="30"/>
      <c r="E27" s="30"/>
      <c r="F27" s="24"/>
      <c r="G27" s="25"/>
      <c r="H27" s="26"/>
      <c r="I27" s="26"/>
      <c r="J27" s="26"/>
      <c r="K27" s="26"/>
      <c r="L27" s="27"/>
      <c r="M27" s="27"/>
      <c r="N27" s="27"/>
    </row>
    <row r="28" spans="1:14" s="1" customFormat="1" ht="21" customHeight="1">
      <c r="A28" s="24"/>
      <c r="B28" s="24"/>
      <c r="C28" s="30"/>
      <c r="D28" s="30"/>
      <c r="E28" s="30"/>
      <c r="F28" s="24"/>
      <c r="G28" s="25"/>
      <c r="H28" s="26"/>
      <c r="I28" s="26"/>
      <c r="J28" s="26"/>
      <c r="K28" s="26"/>
      <c r="L28" s="27"/>
      <c r="M28" s="27"/>
      <c r="N28" s="27"/>
    </row>
    <row r="29" spans="1:14" s="1" customFormat="1" ht="21" customHeight="1">
      <c r="A29" s="24"/>
      <c r="B29" s="24"/>
      <c r="C29" s="30"/>
      <c r="D29" s="30"/>
      <c r="E29" s="30"/>
      <c r="F29" s="24"/>
      <c r="G29" s="25"/>
      <c r="H29" s="26"/>
      <c r="I29" s="26"/>
      <c r="J29" s="26"/>
      <c r="K29" s="26"/>
      <c r="L29" s="27"/>
      <c r="M29" s="27"/>
      <c r="N29" s="27"/>
    </row>
    <row r="30" spans="1:14" s="1" customFormat="1" ht="21" customHeight="1">
      <c r="A30" s="24"/>
      <c r="B30" s="24"/>
      <c r="C30" s="30"/>
      <c r="D30" s="30"/>
      <c r="E30" s="30"/>
      <c r="F30" s="24"/>
      <c r="G30" s="25"/>
      <c r="H30" s="26"/>
      <c r="I30" s="26"/>
      <c r="J30" s="26"/>
      <c r="K30" s="26"/>
      <c r="L30" s="27"/>
      <c r="M30" s="27"/>
      <c r="N30" s="27"/>
    </row>
    <row r="31" spans="1:14" s="1" customFormat="1" ht="21" customHeight="1">
      <c r="A31" s="24"/>
      <c r="B31" s="24"/>
      <c r="C31" s="31"/>
      <c r="D31" s="31"/>
      <c r="E31" s="31"/>
      <c r="F31" s="24"/>
      <c r="G31" s="25"/>
      <c r="H31" s="26"/>
      <c r="I31" s="26"/>
      <c r="J31" s="26"/>
      <c r="K31" s="26"/>
      <c r="L31" s="27"/>
      <c r="M31" s="27"/>
      <c r="N31" s="27"/>
    </row>
    <row r="32" spans="1:14" s="1" customFormat="1" ht="21" customHeight="1">
      <c r="A32" s="24"/>
      <c r="B32" s="24"/>
      <c r="C32" s="31"/>
      <c r="D32" s="31"/>
      <c r="E32" s="31"/>
      <c r="F32" s="24"/>
      <c r="G32" s="25"/>
      <c r="H32" s="26"/>
      <c r="I32" s="26"/>
      <c r="J32" s="26"/>
      <c r="K32" s="26"/>
      <c r="L32" s="27"/>
      <c r="M32" s="27"/>
      <c r="N32" s="27"/>
    </row>
    <row r="33" spans="1:14" s="1" customFormat="1" ht="21" customHeight="1">
      <c r="A33" s="24"/>
      <c r="B33" s="24"/>
      <c r="C33" s="31"/>
      <c r="D33" s="31"/>
      <c r="E33" s="31"/>
      <c r="F33" s="24"/>
      <c r="G33" s="25"/>
      <c r="H33" s="26"/>
      <c r="I33" s="26"/>
      <c r="J33" s="26"/>
      <c r="K33" s="26"/>
      <c r="L33" s="27"/>
      <c r="M33" s="27"/>
      <c r="N33" s="27"/>
    </row>
    <row r="34" spans="1:14" s="1" customFormat="1" ht="21" customHeight="1">
      <c r="A34" s="32"/>
      <c r="B34" s="32"/>
      <c r="C34" s="33"/>
      <c r="D34" s="33"/>
      <c r="E34" s="33"/>
      <c r="F34" s="32"/>
      <c r="G34" s="59" t="s">
        <v>25</v>
      </c>
      <c r="H34" s="60" t="e">
        <f>SUM(H14:H33)</f>
        <v>#REF!</v>
      </c>
      <c r="I34" s="65"/>
      <c r="J34" s="66"/>
      <c r="K34" s="60">
        <f>SUM(K14:K33)</f>
        <v>0</v>
      </c>
      <c r="L34" s="67"/>
      <c r="M34" s="52"/>
      <c r="N34" s="52"/>
    </row>
    <row r="51" spans="1:14">
      <c r="A51" s="3" t="s">
        <v>66</v>
      </c>
      <c r="L51" s="3"/>
      <c r="M51" s="3"/>
      <c r="N51" s="3"/>
    </row>
  </sheetData>
  <mergeCells count="19">
    <mergeCell ref="A5:N5"/>
    <mergeCell ref="B7:D7"/>
    <mergeCell ref="I7:J7"/>
    <mergeCell ref="K7:L7"/>
    <mergeCell ref="B8:D8"/>
    <mergeCell ref="E8:G8"/>
    <mergeCell ref="I8:J8"/>
    <mergeCell ref="K8:L8"/>
    <mergeCell ref="B9:D9"/>
    <mergeCell ref="I9:J9"/>
    <mergeCell ref="K9:L9"/>
    <mergeCell ref="C12:E12"/>
    <mergeCell ref="F12:H12"/>
    <mergeCell ref="I12:K12"/>
    <mergeCell ref="A12:A13"/>
    <mergeCell ref="B12:B13"/>
    <mergeCell ref="L12:L13"/>
    <mergeCell ref="M12:M13"/>
    <mergeCell ref="N12:N13"/>
  </mergeCells>
  <phoneticPr fontId="9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O40"/>
  <sheetViews>
    <sheetView view="pageBreakPreview" zoomScale="80" zoomScaleNormal="70" workbookViewId="0">
      <selection activeCell="H7" sqref="H7"/>
    </sheetView>
  </sheetViews>
  <sheetFormatPr defaultColWidth="12.8984375" defaultRowHeight="15.5"/>
  <cols>
    <col min="1" max="1" width="23.3984375" style="3" customWidth="1"/>
    <col min="2" max="2" width="18" style="3" customWidth="1"/>
    <col min="3" max="3" width="13" style="3" customWidth="1"/>
    <col min="4" max="4" width="13.59765625" style="3" customWidth="1"/>
    <col min="5" max="5" width="45" style="3" customWidth="1"/>
    <col min="6" max="7" width="13.69921875" style="3" customWidth="1"/>
    <col min="8" max="8" width="18.296875" style="3" customWidth="1"/>
    <col min="9" max="9" width="19.69921875" style="3" customWidth="1"/>
    <col min="10" max="11" width="13.69921875" style="3" customWidth="1"/>
    <col min="12" max="12" width="18.296875" style="3" customWidth="1"/>
    <col min="13" max="13" width="23.3984375" style="4" customWidth="1"/>
    <col min="14" max="15" width="24.69921875" style="4" customWidth="1"/>
    <col min="16" max="16384" width="12.8984375" style="3"/>
  </cols>
  <sheetData>
    <row r="1" spans="1:15">
      <c r="A1" s="5"/>
      <c r="B1" s="6" t="s">
        <v>40</v>
      </c>
      <c r="D1" s="6"/>
      <c r="E1" s="6"/>
      <c r="G1" s="6"/>
      <c r="H1" s="6"/>
      <c r="I1" s="6"/>
      <c r="K1" s="6"/>
      <c r="L1" s="6"/>
      <c r="M1" s="6"/>
      <c r="N1" s="6"/>
      <c r="O1" s="6"/>
    </row>
    <row r="2" spans="1:15">
      <c r="A2" s="5"/>
      <c r="B2" s="1" t="s">
        <v>41</v>
      </c>
      <c r="D2" s="1"/>
      <c r="E2" s="1"/>
      <c r="G2" s="1"/>
      <c r="H2" s="1"/>
      <c r="I2" s="1"/>
      <c r="J2" s="1"/>
      <c r="K2" s="1"/>
      <c r="L2" s="1"/>
      <c r="M2" s="1"/>
      <c r="N2" s="1"/>
      <c r="O2" s="1"/>
    </row>
    <row r="3" spans="1:15" ht="48.75" customHeight="1">
      <c r="A3" s="7"/>
      <c r="B3" s="8" t="s">
        <v>42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>
      <c r="A4" s="5"/>
      <c r="B4" s="5"/>
      <c r="C4" s="5"/>
      <c r="D4" s="5"/>
      <c r="E4" s="5"/>
      <c r="F4" s="5"/>
      <c r="G4" s="5"/>
      <c r="H4" s="9"/>
      <c r="I4" s="9"/>
      <c r="J4" s="9"/>
      <c r="K4" s="9"/>
      <c r="L4" s="9"/>
      <c r="M4" s="9"/>
      <c r="N4" s="9"/>
      <c r="O4" s="9"/>
    </row>
    <row r="5" spans="1:15" ht="27" customHeight="1">
      <c r="A5" s="220" t="s">
        <v>67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10"/>
    </row>
    <row r="6" spans="1:1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s="1" customFormat="1" ht="35.15" customHeight="1">
      <c r="A7" s="12" t="s">
        <v>68</v>
      </c>
      <c r="B7" s="211" t="s">
        <v>69</v>
      </c>
      <c r="C7" s="212"/>
      <c r="D7" s="212"/>
      <c r="E7" s="14"/>
      <c r="F7" s="217" t="s">
        <v>70</v>
      </c>
      <c r="G7" s="217"/>
      <c r="H7" s="15">
        <f>Quotation!M31</f>
        <v>0</v>
      </c>
      <c r="I7" s="37"/>
      <c r="L7" s="12" t="s">
        <v>71</v>
      </c>
      <c r="M7" s="38"/>
      <c r="N7" s="39" t="s">
        <v>72</v>
      </c>
      <c r="O7" s="1" t="s">
        <v>73</v>
      </c>
    </row>
    <row r="8" spans="1:15" s="1" customFormat="1" ht="35.15" customHeight="1">
      <c r="A8" s="12" t="s">
        <v>74</v>
      </c>
      <c r="B8" s="16">
        <f>'Cost Sheet'!B8:D8</f>
        <v>0</v>
      </c>
      <c r="C8" s="16"/>
      <c r="D8" s="16"/>
      <c r="E8" s="14"/>
      <c r="F8" s="217" t="s">
        <v>75</v>
      </c>
      <c r="G8" s="217"/>
      <c r="H8" s="17">
        <f>H34</f>
        <v>11400</v>
      </c>
      <c r="I8" s="40"/>
      <c r="L8" s="18" t="s">
        <v>46</v>
      </c>
      <c r="M8" s="41">
        <f>'Cost Sheet'!M7</f>
        <v>0</v>
      </c>
      <c r="N8" s="39" t="s">
        <v>72</v>
      </c>
      <c r="O8" s="1" t="s">
        <v>76</v>
      </c>
    </row>
    <row r="9" spans="1:15" s="1" customFormat="1" ht="35.15" customHeight="1">
      <c r="A9" s="18"/>
      <c r="B9" s="204"/>
      <c r="C9" s="204"/>
      <c r="D9" s="204"/>
      <c r="E9" s="14"/>
      <c r="F9" s="217" t="s">
        <v>77</v>
      </c>
      <c r="G9" s="217"/>
      <c r="H9" s="19">
        <f>H7-H8</f>
        <v>-11400</v>
      </c>
      <c r="I9" s="40"/>
      <c r="L9" s="42" t="s">
        <v>78</v>
      </c>
      <c r="M9" s="43"/>
      <c r="N9" s="39" t="s">
        <v>72</v>
      </c>
      <c r="O9" s="1" t="s">
        <v>79</v>
      </c>
    </row>
    <row r="10" spans="1:15" s="1" customFormat="1" ht="35.15" customHeight="1">
      <c r="A10" s="12" t="s">
        <v>80</v>
      </c>
      <c r="B10" s="16" t="e">
        <f>'Cost Sheet'!B9:D9</f>
        <v>#REF!</v>
      </c>
      <c r="C10" s="16"/>
      <c r="D10" s="16"/>
      <c r="F10" s="217" t="s">
        <v>81</v>
      </c>
      <c r="G10" s="217"/>
      <c r="H10" s="20" t="e">
        <f>(H7-H8)/H7</f>
        <v>#DIV/0!</v>
      </c>
      <c r="I10" s="40"/>
      <c r="N10" s="44"/>
      <c r="O10" s="44"/>
    </row>
    <row r="11" spans="1:15" s="1" customFormat="1">
      <c r="M11" s="45"/>
      <c r="N11" s="45"/>
      <c r="O11" s="45"/>
    </row>
    <row r="12" spans="1:15" s="1" customFormat="1" ht="17">
      <c r="A12" s="198" t="s">
        <v>82</v>
      </c>
      <c r="B12" s="198" t="s">
        <v>83</v>
      </c>
      <c r="C12" s="207" t="s">
        <v>84</v>
      </c>
      <c r="D12" s="208"/>
      <c r="E12" s="209"/>
      <c r="F12" s="218" t="s">
        <v>85</v>
      </c>
      <c r="G12" s="208"/>
      <c r="H12" s="208"/>
      <c r="I12" s="215" t="s">
        <v>86</v>
      </c>
      <c r="J12" s="219" t="s">
        <v>87</v>
      </c>
      <c r="K12" s="208"/>
      <c r="L12" s="209"/>
      <c r="M12" s="202" t="s">
        <v>88</v>
      </c>
      <c r="N12" s="202" t="s">
        <v>89</v>
      </c>
      <c r="O12" s="202" t="s">
        <v>90</v>
      </c>
    </row>
    <row r="13" spans="1:15" s="1" customFormat="1" ht="32.5">
      <c r="A13" s="199"/>
      <c r="B13" s="199"/>
      <c r="C13" s="23" t="s">
        <v>91</v>
      </c>
      <c r="D13" s="23" t="s">
        <v>92</v>
      </c>
      <c r="E13" s="23" t="s">
        <v>93</v>
      </c>
      <c r="F13" s="23" t="s">
        <v>94</v>
      </c>
      <c r="G13" s="23" t="s">
        <v>95</v>
      </c>
      <c r="H13" s="22" t="s">
        <v>96</v>
      </c>
      <c r="I13" s="216"/>
      <c r="J13" s="46" t="s">
        <v>94</v>
      </c>
      <c r="K13" s="23" t="s">
        <v>95</v>
      </c>
      <c r="L13" s="22" t="s">
        <v>96</v>
      </c>
      <c r="M13" s="201"/>
      <c r="N13" s="203"/>
      <c r="O13" s="203"/>
    </row>
    <row r="14" spans="1:15" s="1" customFormat="1">
      <c r="A14" s="24">
        <v>0</v>
      </c>
      <c r="B14" s="24">
        <v>0</v>
      </c>
      <c r="C14" s="24" t="s">
        <v>97</v>
      </c>
      <c r="D14" s="24" t="s">
        <v>107</v>
      </c>
      <c r="E14" s="24" t="s">
        <v>98</v>
      </c>
      <c r="F14" s="24">
        <v>3</v>
      </c>
      <c r="G14" s="25">
        <v>3800</v>
      </c>
      <c r="H14" s="26">
        <f>F14*G14</f>
        <v>11400</v>
      </c>
      <c r="I14" s="48"/>
      <c r="J14" s="21"/>
      <c r="K14" s="26"/>
      <c r="L14" s="26"/>
      <c r="M14" s="27"/>
      <c r="N14" s="27"/>
      <c r="O14" s="27"/>
    </row>
    <row r="15" spans="1:15" s="1" customFormat="1">
      <c r="A15" s="24">
        <v>0</v>
      </c>
      <c r="B15" s="24">
        <v>0</v>
      </c>
      <c r="C15" s="24"/>
      <c r="D15" s="24"/>
      <c r="E15" s="24"/>
      <c r="F15" s="24"/>
      <c r="G15" s="25"/>
      <c r="H15" s="26"/>
      <c r="I15" s="48"/>
      <c r="J15" s="21"/>
      <c r="K15" s="26"/>
      <c r="L15" s="26"/>
      <c r="M15" s="27"/>
      <c r="N15" s="27"/>
      <c r="O15" s="27"/>
    </row>
    <row r="16" spans="1:15" s="2" customFormat="1">
      <c r="A16" s="24">
        <v>0</v>
      </c>
      <c r="B16" s="24">
        <v>0</v>
      </c>
      <c r="C16" s="24"/>
      <c r="D16" s="24"/>
      <c r="E16" s="24"/>
      <c r="F16" s="24"/>
      <c r="G16" s="25"/>
      <c r="H16" s="26"/>
      <c r="I16" s="48"/>
      <c r="J16" s="21"/>
      <c r="K16" s="26"/>
      <c r="L16" s="26"/>
      <c r="M16" s="27"/>
      <c r="N16" s="49"/>
      <c r="O16" s="49"/>
    </row>
    <row r="17" spans="1:15" s="2" customFormat="1">
      <c r="A17" s="24">
        <v>0</v>
      </c>
      <c r="B17" s="24">
        <v>0</v>
      </c>
      <c r="C17" s="24"/>
      <c r="D17" s="24"/>
      <c r="E17" s="24"/>
      <c r="F17" s="24"/>
      <c r="G17" s="25"/>
      <c r="H17" s="26"/>
      <c r="I17" s="48"/>
      <c r="J17" s="21"/>
      <c r="K17" s="26"/>
      <c r="L17" s="26"/>
      <c r="M17" s="27"/>
      <c r="N17" s="49"/>
      <c r="O17" s="49"/>
    </row>
    <row r="18" spans="1:15" s="2" customFormat="1">
      <c r="A18" s="24">
        <v>0</v>
      </c>
      <c r="B18" s="24">
        <v>0</v>
      </c>
      <c r="C18" s="27"/>
      <c r="D18" s="27"/>
      <c r="E18" s="27"/>
      <c r="F18" s="24"/>
      <c r="G18" s="25"/>
      <c r="H18" s="26"/>
      <c r="I18" s="48"/>
      <c r="J18" s="21"/>
      <c r="K18" s="26"/>
      <c r="L18" s="26"/>
      <c r="M18" s="27"/>
      <c r="N18" s="49"/>
      <c r="O18" s="49"/>
    </row>
    <row r="19" spans="1:15" s="2" customFormat="1">
      <c r="A19" s="24">
        <v>0</v>
      </c>
      <c r="B19" s="24">
        <v>0</v>
      </c>
      <c r="C19" s="27"/>
      <c r="D19" s="27"/>
      <c r="E19" s="27"/>
      <c r="F19" s="24"/>
      <c r="G19" s="25"/>
      <c r="H19" s="26"/>
      <c r="I19" s="48"/>
      <c r="J19" s="21"/>
      <c r="K19" s="26"/>
      <c r="L19" s="26"/>
      <c r="M19" s="27"/>
      <c r="N19" s="49"/>
      <c r="O19" s="49"/>
    </row>
    <row r="20" spans="1:15" s="2" customFormat="1">
      <c r="A20" s="24">
        <v>0</v>
      </c>
      <c r="B20" s="24">
        <v>0</v>
      </c>
      <c r="C20" s="27"/>
      <c r="D20" s="27"/>
      <c r="E20" s="27"/>
      <c r="F20" s="24"/>
      <c r="G20" s="25"/>
      <c r="H20" s="28"/>
      <c r="I20" s="48"/>
      <c r="J20" s="21"/>
      <c r="K20" s="26"/>
      <c r="L20" s="26"/>
      <c r="M20" s="27"/>
      <c r="N20" s="49"/>
      <c r="O20" s="49"/>
    </row>
    <row r="21" spans="1:15" s="2" customFormat="1">
      <c r="A21" s="24">
        <v>0</v>
      </c>
      <c r="B21" s="24">
        <v>0</v>
      </c>
      <c r="C21" s="27"/>
      <c r="D21" s="27"/>
      <c r="E21" s="27"/>
      <c r="F21" s="24"/>
      <c r="G21" s="25"/>
      <c r="H21" s="28"/>
      <c r="I21" s="48"/>
      <c r="J21" s="21"/>
      <c r="K21" s="26"/>
      <c r="L21" s="26"/>
      <c r="M21" s="27"/>
      <c r="N21" s="49"/>
      <c r="O21" s="49"/>
    </row>
    <row r="22" spans="1:15" s="2" customFormat="1">
      <c r="A22" s="24">
        <v>0</v>
      </c>
      <c r="B22" s="24">
        <v>0</v>
      </c>
      <c r="C22" s="27"/>
      <c r="D22" s="27"/>
      <c r="E22" s="27"/>
      <c r="F22" s="24"/>
      <c r="G22" s="25"/>
      <c r="H22" s="28"/>
      <c r="I22" s="48"/>
      <c r="J22" s="21"/>
      <c r="K22" s="26"/>
      <c r="L22" s="26"/>
      <c r="M22" s="27"/>
      <c r="N22" s="49"/>
      <c r="O22" s="49"/>
    </row>
    <row r="23" spans="1:15" s="2" customFormat="1">
      <c r="A23" s="24">
        <v>0</v>
      </c>
      <c r="B23" s="24">
        <v>0</v>
      </c>
      <c r="C23" s="27"/>
      <c r="D23" s="27"/>
      <c r="E23" s="27"/>
      <c r="F23" s="24"/>
      <c r="G23" s="25"/>
      <c r="H23" s="28"/>
      <c r="I23" s="48"/>
      <c r="J23" s="21"/>
      <c r="K23" s="26"/>
      <c r="L23" s="26"/>
      <c r="M23" s="27"/>
      <c r="N23" s="49"/>
      <c r="O23" s="49"/>
    </row>
    <row r="24" spans="1:15" s="2" customFormat="1">
      <c r="A24" s="24">
        <v>0</v>
      </c>
      <c r="B24" s="24">
        <v>0</v>
      </c>
      <c r="C24" s="27"/>
      <c r="D24" s="27"/>
      <c r="E24" s="27"/>
      <c r="F24" s="24"/>
      <c r="G24" s="25"/>
      <c r="H24" s="28"/>
      <c r="I24" s="48"/>
      <c r="J24" s="21"/>
      <c r="K24" s="26"/>
      <c r="L24" s="26"/>
      <c r="M24" s="27"/>
      <c r="N24" s="49"/>
      <c r="O24" s="49"/>
    </row>
    <row r="25" spans="1:15" s="2" customFormat="1">
      <c r="A25" s="24">
        <v>0</v>
      </c>
      <c r="B25" s="24">
        <v>0</v>
      </c>
      <c r="C25" s="27"/>
      <c r="D25" s="27"/>
      <c r="E25" s="27"/>
      <c r="F25" s="24"/>
      <c r="G25" s="25"/>
      <c r="H25" s="28"/>
      <c r="I25" s="48"/>
      <c r="J25" s="21"/>
      <c r="K25" s="26"/>
      <c r="L25" s="26"/>
      <c r="M25" s="27"/>
      <c r="N25" s="49"/>
      <c r="O25" s="49"/>
    </row>
    <row r="26" spans="1:15" s="2" customFormat="1">
      <c r="A26" s="24">
        <v>0</v>
      </c>
      <c r="B26" s="24">
        <v>0</v>
      </c>
      <c r="C26" s="27"/>
      <c r="D26" s="27"/>
      <c r="E26" s="29"/>
      <c r="F26" s="24"/>
      <c r="G26" s="25"/>
      <c r="H26" s="28"/>
      <c r="I26" s="48"/>
      <c r="J26" s="21"/>
      <c r="K26" s="26"/>
      <c r="L26" s="26"/>
      <c r="M26" s="27"/>
      <c r="N26" s="49"/>
      <c r="O26" s="49"/>
    </row>
    <row r="27" spans="1:15" s="2" customFormat="1">
      <c r="A27" s="24">
        <v>0</v>
      </c>
      <c r="B27" s="24">
        <v>0</v>
      </c>
      <c r="C27" s="27"/>
      <c r="D27" s="27"/>
      <c r="E27" s="29"/>
      <c r="F27" s="24"/>
      <c r="G27" s="25"/>
      <c r="H27" s="28"/>
      <c r="I27" s="48"/>
      <c r="J27" s="21"/>
      <c r="K27" s="26"/>
      <c r="L27" s="26"/>
      <c r="M27" s="27"/>
      <c r="N27" s="49"/>
      <c r="O27" s="49"/>
    </row>
    <row r="28" spans="1:15" s="2" customFormat="1">
      <c r="A28" s="24">
        <v>0</v>
      </c>
      <c r="B28" s="24">
        <v>0</v>
      </c>
      <c r="C28" s="27"/>
      <c r="D28" s="27"/>
      <c r="E28" s="29"/>
      <c r="F28" s="24"/>
      <c r="G28" s="25"/>
      <c r="H28" s="28"/>
      <c r="I28" s="48"/>
      <c r="J28" s="21"/>
      <c r="K28" s="26"/>
      <c r="L28" s="26"/>
      <c r="M28" s="27"/>
      <c r="N28" s="49"/>
      <c r="O28" s="49"/>
    </row>
    <row r="29" spans="1:15" s="2" customFormat="1">
      <c r="A29" s="24">
        <v>0</v>
      </c>
      <c r="B29" s="24">
        <v>0</v>
      </c>
      <c r="C29" s="27"/>
      <c r="D29" s="27"/>
      <c r="E29" s="29"/>
      <c r="F29" s="24"/>
      <c r="G29" s="25"/>
      <c r="H29" s="28"/>
      <c r="I29" s="48"/>
      <c r="J29" s="21"/>
      <c r="K29" s="26"/>
      <c r="L29" s="26"/>
      <c r="M29" s="27"/>
      <c r="N29" s="49"/>
      <c r="O29" s="49"/>
    </row>
    <row r="30" spans="1:15" s="2" customFormat="1">
      <c r="A30" s="24">
        <v>0</v>
      </c>
      <c r="B30" s="24">
        <v>0</v>
      </c>
      <c r="C30" s="27"/>
      <c r="D30" s="27"/>
      <c r="E30" s="29"/>
      <c r="F30" s="24"/>
      <c r="G30" s="25"/>
      <c r="H30" s="28"/>
      <c r="I30" s="48"/>
      <c r="J30" s="21"/>
      <c r="K30" s="26"/>
      <c r="L30" s="26"/>
      <c r="M30" s="27"/>
      <c r="N30" s="49"/>
      <c r="O30" s="49"/>
    </row>
    <row r="31" spans="1:15" s="1" customFormat="1">
      <c r="A31" s="24">
        <v>0</v>
      </c>
      <c r="B31" s="24">
        <v>0</v>
      </c>
      <c r="C31" s="27"/>
      <c r="D31" s="27"/>
      <c r="E31" s="30"/>
      <c r="F31" s="24"/>
      <c r="G31" s="25"/>
      <c r="H31" s="28"/>
      <c r="I31" s="48"/>
      <c r="J31" s="21"/>
      <c r="K31" s="26"/>
      <c r="L31" s="26"/>
      <c r="M31" s="27"/>
      <c r="N31" s="27"/>
      <c r="O31" s="27"/>
    </row>
    <row r="32" spans="1:15" s="1" customFormat="1">
      <c r="A32" s="24">
        <v>0</v>
      </c>
      <c r="B32" s="24">
        <v>0</v>
      </c>
      <c r="C32" s="27"/>
      <c r="D32" s="27"/>
      <c r="E32" s="31"/>
      <c r="F32" s="24"/>
      <c r="G32" s="25"/>
      <c r="H32" s="28"/>
      <c r="I32" s="48"/>
      <c r="J32" s="21"/>
      <c r="K32" s="26"/>
      <c r="L32" s="26"/>
      <c r="M32" s="27"/>
      <c r="N32" s="27"/>
      <c r="O32" s="27"/>
    </row>
    <row r="33" spans="1:15" s="1" customFormat="1">
      <c r="A33" s="24"/>
      <c r="B33" s="24"/>
      <c r="C33" s="31"/>
      <c r="D33" s="31"/>
      <c r="E33" s="31"/>
      <c r="F33" s="24"/>
      <c r="G33" s="25"/>
      <c r="H33" s="28"/>
      <c r="I33" s="48"/>
      <c r="J33" s="21"/>
      <c r="K33" s="26"/>
      <c r="L33" s="26"/>
      <c r="M33" s="27"/>
      <c r="N33" s="27"/>
      <c r="O33" s="27"/>
    </row>
    <row r="34" spans="1:15" s="1" customFormat="1" ht="17">
      <c r="A34" s="32"/>
      <c r="B34" s="32"/>
      <c r="C34" s="33"/>
      <c r="D34" s="33"/>
      <c r="E34" s="33"/>
      <c r="F34" s="32"/>
      <c r="G34" s="32" t="s">
        <v>99</v>
      </c>
      <c r="H34" s="34">
        <f>SUM(H14:H33)</f>
        <v>11400</v>
      </c>
      <c r="I34" s="50"/>
      <c r="J34" s="51"/>
      <c r="K34" s="32" t="s">
        <v>99</v>
      </c>
      <c r="L34" s="34">
        <f>SUM(L14:L33)</f>
        <v>0</v>
      </c>
      <c r="M34" s="52"/>
      <c r="N34" s="52"/>
      <c r="O34" s="14"/>
    </row>
    <row r="36" spans="1:15">
      <c r="G36" s="35" t="s">
        <v>100</v>
      </c>
      <c r="H36" s="36"/>
      <c r="I36" s="36"/>
      <c r="M36" s="35" t="s">
        <v>101</v>
      </c>
      <c r="N36" s="36"/>
      <c r="O36" s="36"/>
    </row>
    <row r="37" spans="1:15">
      <c r="G37" s="35"/>
      <c r="H37" s="214" t="s">
        <v>102</v>
      </c>
      <c r="I37" s="214"/>
      <c r="M37" s="35"/>
      <c r="N37" s="214" t="s">
        <v>102</v>
      </c>
      <c r="O37" s="214"/>
    </row>
    <row r="38" spans="1:15">
      <c r="G38" s="35"/>
      <c r="H38" s="4"/>
      <c r="I38" s="4"/>
      <c r="M38" s="35"/>
    </row>
    <row r="39" spans="1:15">
      <c r="G39" s="35" t="s">
        <v>103</v>
      </c>
      <c r="H39" s="36"/>
      <c r="I39" s="36"/>
      <c r="M39" s="35" t="s">
        <v>104</v>
      </c>
      <c r="N39" s="36"/>
      <c r="O39" s="36"/>
    </row>
    <row r="40" spans="1:15">
      <c r="H40" s="214" t="s">
        <v>102</v>
      </c>
      <c r="I40" s="214"/>
      <c r="N40" s="214" t="s">
        <v>102</v>
      </c>
      <c r="O40" s="214"/>
    </row>
  </sheetData>
  <mergeCells count="20">
    <mergeCell ref="A5:N5"/>
    <mergeCell ref="B7:D7"/>
    <mergeCell ref="F7:G7"/>
    <mergeCell ref="F8:G8"/>
    <mergeCell ref="B9:D9"/>
    <mergeCell ref="F9:G9"/>
    <mergeCell ref="F10:G10"/>
    <mergeCell ref="C12:E12"/>
    <mergeCell ref="F12:H12"/>
    <mergeCell ref="J12:L12"/>
    <mergeCell ref="H37:I37"/>
    <mergeCell ref="N37:O37"/>
    <mergeCell ref="H40:I40"/>
    <mergeCell ref="N40:O40"/>
    <mergeCell ref="A12:A13"/>
    <mergeCell ref="B12:B13"/>
    <mergeCell ref="I12:I13"/>
    <mergeCell ref="M12:M13"/>
    <mergeCell ref="N12:N13"/>
    <mergeCell ref="O12:O13"/>
  </mergeCells>
  <phoneticPr fontId="98" type="noConversion"/>
  <pageMargins left="0.39370078740157499" right="0.39370078740157499" top="0.74803149606299202" bottom="0.74803149606299202" header="0.31496062992126" footer="0.31496062992126"/>
  <pageSetup paperSize="9"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4</vt:i4>
      </vt:variant>
    </vt:vector>
  </HeadingPairs>
  <TitlesOfParts>
    <vt:vector size="7" baseType="lpstr">
      <vt:lpstr>Quotation</vt:lpstr>
      <vt:lpstr>Cost Sheet</vt:lpstr>
      <vt:lpstr>MR Form</vt:lpstr>
      <vt:lpstr>Excel_BuiltIn_Print_Area_1_1</vt:lpstr>
      <vt:lpstr>Excel_BuiltIn_Print_Area_2_1</vt:lpstr>
      <vt:lpstr>'MR Form'!Print_Area</vt:lpstr>
      <vt:lpstr>Quotation!Print_Area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ecinfo</cp:lastModifiedBy>
  <cp:lastPrinted>2026-01-20T09:34:52Z</cp:lastPrinted>
  <dcterms:created xsi:type="dcterms:W3CDTF">2012-01-05T10:15:00Z</dcterms:created>
  <dcterms:modified xsi:type="dcterms:W3CDTF">2026-07-16T07:28:00Z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EF50AF2023AD4589B7BF804D7FAFD11E_12</vt:lpwstr>
  </property>
  <property fmtid="{D5CDD505-2E9C-101B-9397-08002B2CF9AE}" pid="3" name="KSOProductBuildVer">
    <vt:lpwstr>2052-12.1.0.21915</vt:lpwstr>
  </property>
</Properties>
</file>